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7.xml" ContentType="application/vnd.ms-excel.controlproperties+xml"/>
  <Override PartName="/xl/drawings/drawing6.xml" ContentType="application/vnd.openxmlformats-officedocument.drawing+xml"/>
  <Override PartName="/xl/comments2.xml" ContentType="application/vnd.openxmlformats-officedocument.spreadsheetml.comments+xml"/>
  <Override PartName="/xl/drawings/drawing7.xml" ContentType="application/vnd.openxmlformats-officedocument.drawing+xml"/>
  <Override PartName="/xl/comments3.xml" ContentType="application/vnd.openxmlformats-officedocument.spreadsheetml.comments+xml"/>
  <Override PartName="/xl/drawings/drawing8.xml" ContentType="application/vnd.openxmlformats-officedocument.drawing+xml"/>
  <Override PartName="/xl/ctrlProps/ctrlProp8.xml" ContentType="application/vnd.ms-excel.controlproperties+xml"/>
  <Override PartName="/xl/ctrlProps/ctrlProp9.xml" ContentType="application/vnd.ms-excel.controlproperties+xml"/>
  <Override PartName="/xl/comments4.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328" codeName="{74837BA0-65D6-932C-5D65-3B800EBDC722}"/>
  <workbookPr codeName="ThisWorkbook"/>
  <mc:AlternateContent xmlns:mc="http://schemas.openxmlformats.org/markup-compatibility/2006">
    <mc:Choice Requires="x15">
      <x15ac:absPath xmlns:x15ac="http://schemas.microsoft.com/office/spreadsheetml/2010/11/ac" url="\\tokyo-12n\50_共有\BP勤怠管理\ICZ\2019-10\"/>
    </mc:Choice>
  </mc:AlternateContent>
  <xr:revisionPtr revIDLastSave="0" documentId="13_ncr:1_{8A98828D-57C8-4716-8B3A-E2D836E66DF5}" xr6:coauthVersionLast="41" xr6:coauthVersionMax="41" xr10:uidLastSave="{00000000-0000-0000-0000-000000000000}"/>
  <bookViews>
    <workbookView xWindow="2175" yWindow="30" windowWidth="21420" windowHeight="16125" tabRatio="808" activeTab="2" xr2:uid="{00000000-000D-0000-FFFF-FFFF00000000}"/>
  </bookViews>
  <sheets>
    <sheet name="使用方法" sheetId="15" r:id="rId1"/>
    <sheet name="メニュー" sheetId="11" r:id="rId2"/>
    <sheet name="&lt;高橋敦&gt;報告. 1910" sheetId="22" r:id="rId3"/>
    <sheet name="作業時間報告書" sheetId="21" state="veryHidden" r:id="rId4"/>
    <sheet name="作業時間報告書マスタ" sheetId="12" state="veryHidden" r:id="rId5"/>
    <sheet name="交通費明細書マスタ" sheetId="19" state="veryHidden" r:id="rId6"/>
    <sheet name="出張費明細書マスタ" sheetId="20" state="veryHidden" r:id="rId7"/>
    <sheet name="カレンダー" sheetId="7" state="veryHidden" r:id="rId8"/>
    <sheet name="変更履歴" sheetId="18" state="veryHidden" r:id="rId9"/>
    <sheet name="客先勤怠" sheetId="8" state="veryHidden" r:id="rId10"/>
  </sheets>
  <functionGroups builtInGroupCount="19"/>
  <definedNames>
    <definedName name="HTML1_1" hidden="1">"'[馬車馬くん.xls]マスター (2)'!$A$6:$E$38"</definedName>
    <definedName name="HTML1_10" hidden="1">""</definedName>
    <definedName name="HTML1_11" hidden="1">1</definedName>
    <definedName name="HTML1_12" hidden="1">"C:\My Documents\MyHTML.htm"</definedName>
    <definedName name="HTML1_2" hidden="1">1</definedName>
    <definedName name="HTML1_3" hidden="1">"馬車馬くん.xls"</definedName>
    <definedName name="HTML1_4" hidden="1">"マスター (2)"</definedName>
    <definedName name="HTML1_5" hidden="1">""</definedName>
    <definedName name="HTML1_6" hidden="1">-4146</definedName>
    <definedName name="HTML1_7" hidden="1">-4146</definedName>
    <definedName name="HTML1_8" hidden="1">"96/11/01"</definedName>
    <definedName name="HTML1_9" hidden="1">"山路 秀章"</definedName>
    <definedName name="HTML2_1" hidden="1">"'[馬車馬くん.xls]マスター (2)'!$AA$45"</definedName>
    <definedName name="HTML2_10" hidden="1">""</definedName>
    <definedName name="HTML2_11" hidden="1">1</definedName>
    <definedName name="HTML2_12" hidden="1">"C:\My Documents\MyHTML.htm"</definedName>
    <definedName name="HTML2_2" hidden="1">1</definedName>
    <definedName name="HTML2_3" hidden="1">"馬車馬くん.xls"</definedName>
    <definedName name="HTML2_4" hidden="1">"マスター (2)"</definedName>
    <definedName name="HTML2_5" hidden="1">""</definedName>
    <definedName name="HTML2_6" hidden="1">-4146</definedName>
    <definedName name="HTML2_7" hidden="1">-4146</definedName>
    <definedName name="HTML2_8" hidden="1">"96/11/01"</definedName>
    <definedName name="HTML2_9" hidden="1">"山路 秀章"</definedName>
    <definedName name="HTML3_1" hidden="1">"'[馬車馬くん.xls]マスター (2)'!$A$1:$AA$45"</definedName>
    <definedName name="HTML3_10" hidden="1">""</definedName>
    <definedName name="HTML3_11" hidden="1">1</definedName>
    <definedName name="HTML3_12" hidden="1">"C:\My Documents\MyHTML.htm"</definedName>
    <definedName name="HTML3_2" hidden="1">1</definedName>
    <definedName name="HTML3_3" hidden="1">"馬車馬くん.xls"</definedName>
    <definedName name="HTML3_4" hidden="1">"マスター (2)"</definedName>
    <definedName name="HTML3_5" hidden="1">""</definedName>
    <definedName name="HTML3_6" hidden="1">-4146</definedName>
    <definedName name="HTML3_7" hidden="1">-4146</definedName>
    <definedName name="HTML3_8" hidden="1">"96/11/01"</definedName>
    <definedName name="HTML3_9" hidden="1">"山路 秀章"</definedName>
    <definedName name="HTMLCount" hidden="1">3</definedName>
    <definedName name="P20190930" localSheetId="5">交通費明細書マスタ!$AE$4:$AE$6</definedName>
    <definedName name="P20190930" localSheetId="6">出張費明細書マスタ!$AF$4:$AF$6</definedName>
    <definedName name="P20191001" localSheetId="5">交通費明細書マスタ!$AF$4:$AF$7</definedName>
    <definedName name="P20191001" localSheetId="6">出張費明細書マスタ!$AG$4:$AG$7</definedName>
    <definedName name="_xlnm.Print_Area" localSheetId="2">'&lt;高橋敦&gt;報告. 1910'!$A$1:$T$48</definedName>
    <definedName name="_xlnm.Print_Area" localSheetId="5">交通費明細書マスタ!$A$1:$O$48</definedName>
    <definedName name="_xlnm.Print_Area" localSheetId="3">作業時間報告書!$A$1:$T$48</definedName>
    <definedName name="_xlnm.Print_Area" localSheetId="4">作業時間報告書マスタ!$C$1:$Q$53</definedName>
    <definedName name="_xlnm.Print_Area" localSheetId="0">使用方法!$A$1:$O$191</definedName>
    <definedName name="_xlnm.Print_Area" localSheetId="6">出張費明細書マスタ!$A$1:$U$142</definedName>
    <definedName name="_xlnm.Print_Titles" localSheetId="5">交通費明細書マスタ!$9:$9</definedName>
    <definedName name="PuLLD">出張費明細書マスタ!$AG$13</definedName>
    <definedName name="基準先頭" localSheetId="4">作業時間報告書マスタ!$T$10</definedName>
    <definedName name="休日カレンダ">カレンダー!$B$2:$B$41</definedName>
    <definedName name="勤怠タイプ" localSheetId="2">'&lt;高橋敦&gt;報告. 1910'!$CJ$10:$CJ$11</definedName>
    <definedName name="勤怠タイプ" localSheetId="3">作業時間報告書!$CJ$10:$CJ$11</definedName>
    <definedName name="勤怠タイプNo" localSheetId="2">'&lt;高橋敦&gt;報告. 1910'!$Q$2</definedName>
    <definedName name="勤怠タイプNo" localSheetId="3">作業時間報告書!$Q$2</definedName>
    <definedName name="最低休暇時間1" localSheetId="2">'&lt;高橋敦&gt;報告. 1910'!$BB$3</definedName>
    <definedName name="最低休暇時間1" localSheetId="3">作業時間報告書!$BB$3</definedName>
    <definedName name="最低休暇時間2" localSheetId="2">'&lt;高橋敦&gt;報告. 1910'!$BD$3</definedName>
    <definedName name="最低休暇時間2" localSheetId="3">作業時間報告書!$BD$3</definedName>
    <definedName name="実労先頭" localSheetId="4">作業時間報告書マスタ!$R$10</definedName>
    <definedName name="終了時間" localSheetId="4">作業時間報告書マスタ!#REF!</definedName>
    <definedName name="法律時間1" localSheetId="2">'&lt;高橋敦&gt;報告. 1910'!$BA$3</definedName>
    <definedName name="法律時間1" localSheetId="3">作業時間報告書!$BA$3</definedName>
    <definedName name="法律時間2" localSheetId="2">'&lt;高橋敦&gt;報告. 1910'!$BC$3</definedName>
    <definedName name="法律時間2" localSheetId="3">作業時間報告書!$BC$3</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I41" i="22" l="1"/>
  <c r="H41" i="22"/>
  <c r="E41" i="22"/>
  <c r="CB40" i="22"/>
  <c r="CA40" i="22"/>
  <c r="BZ40" i="22"/>
  <c r="BA40" i="22"/>
  <c r="AZ40" i="22"/>
  <c r="AY40" i="22"/>
  <c r="AA40" i="22"/>
  <c r="AC40" i="22" s="1"/>
  <c r="Y40" i="22"/>
  <c r="CB39" i="22"/>
  <c r="CA39" i="22"/>
  <c r="BZ39" i="22"/>
  <c r="BA39" i="22"/>
  <c r="AZ39" i="22"/>
  <c r="AY39" i="22"/>
  <c r="AA39" i="22"/>
  <c r="AC39" i="22" s="1"/>
  <c r="Z39" i="22"/>
  <c r="AJ39" i="22" s="1"/>
  <c r="Y39" i="22"/>
  <c r="CB38" i="22"/>
  <c r="CA38" i="22"/>
  <c r="BZ38" i="22"/>
  <c r="BA38" i="22"/>
  <c r="AZ38" i="22"/>
  <c r="AY38" i="22"/>
  <c r="AC38" i="22"/>
  <c r="AA38" i="22"/>
  <c r="Y38" i="22"/>
  <c r="CB37" i="22"/>
  <c r="CA37" i="22"/>
  <c r="BZ37" i="22"/>
  <c r="BA37" i="22"/>
  <c r="AZ37" i="22"/>
  <c r="AY37" i="22"/>
  <c r="AA37" i="22"/>
  <c r="AC37" i="22" s="1"/>
  <c r="Y37" i="22"/>
  <c r="CB36" i="22"/>
  <c r="CA36" i="22"/>
  <c r="BZ36" i="22"/>
  <c r="BA36" i="22"/>
  <c r="AZ36" i="22"/>
  <c r="AY36" i="22"/>
  <c r="AW36" i="22"/>
  <c r="AV36" i="22"/>
  <c r="AP36" i="22"/>
  <c r="AN36" i="22"/>
  <c r="AH36" i="22"/>
  <c r="AG36" i="22"/>
  <c r="AC36" i="22"/>
  <c r="AA36" i="22"/>
  <c r="Y36" i="22"/>
  <c r="AK36" i="22" s="1"/>
  <c r="CB35" i="22"/>
  <c r="CA35" i="22"/>
  <c r="BZ35" i="22"/>
  <c r="BA35" i="22"/>
  <c r="AZ35" i="22"/>
  <c r="AY35" i="22"/>
  <c r="AT35" i="22"/>
  <c r="AK35" i="22"/>
  <c r="AC35" i="22"/>
  <c r="AA35" i="22"/>
  <c r="Z35" i="22"/>
  <c r="Y35" i="22"/>
  <c r="AN35" i="22" s="1"/>
  <c r="CB34" i="22"/>
  <c r="CA34" i="22"/>
  <c r="BZ34" i="22"/>
  <c r="BA34" i="22"/>
  <c r="AZ34" i="22"/>
  <c r="AY34" i="22"/>
  <c r="AA34" i="22"/>
  <c r="AC34" i="22" s="1"/>
  <c r="Y34" i="22"/>
  <c r="CB33" i="22"/>
  <c r="CA33" i="22"/>
  <c r="BZ33" i="22"/>
  <c r="BA33" i="22"/>
  <c r="AZ33" i="22"/>
  <c r="AY33" i="22"/>
  <c r="AA33" i="22"/>
  <c r="Y33" i="22"/>
  <c r="CB32" i="22"/>
  <c r="CA32" i="22"/>
  <c r="BZ32" i="22"/>
  <c r="BA32" i="22"/>
  <c r="AZ32" i="22"/>
  <c r="AY32" i="22"/>
  <c r="AA32" i="22"/>
  <c r="Y32" i="22"/>
  <c r="CB31" i="22"/>
  <c r="CA31" i="22"/>
  <c r="BZ31" i="22"/>
  <c r="BA31" i="22"/>
  <c r="AZ31" i="22"/>
  <c r="AY31" i="22"/>
  <c r="AT31" i="22"/>
  <c r="AQ31" i="22"/>
  <c r="AP31" i="22"/>
  <c r="AM31" i="22"/>
  <c r="AH31" i="22"/>
  <c r="AE31" i="22"/>
  <c r="AF31" i="22" s="1"/>
  <c r="AD31" i="22"/>
  <c r="AA31" i="22"/>
  <c r="Z31" i="22"/>
  <c r="Y31" i="22"/>
  <c r="AW31" i="22" s="1"/>
  <c r="CB30" i="22"/>
  <c r="CA30" i="22"/>
  <c r="BZ30" i="22"/>
  <c r="BA30" i="22"/>
  <c r="AZ30" i="22"/>
  <c r="AY30" i="22"/>
  <c r="AT30" i="22"/>
  <c r="AQ30" i="22"/>
  <c r="AR30" i="22" s="1"/>
  <c r="AP30" i="22"/>
  <c r="AM30" i="22"/>
  <c r="AH30" i="22"/>
  <c r="AE30" i="22"/>
  <c r="AD30" i="22"/>
  <c r="AA30" i="22"/>
  <c r="Z30" i="22"/>
  <c r="Y30" i="22"/>
  <c r="AW30" i="22" s="1"/>
  <c r="CB29" i="22"/>
  <c r="CA29" i="22"/>
  <c r="BZ29" i="22"/>
  <c r="BA29" i="22"/>
  <c r="AZ29" i="22"/>
  <c r="AY29" i="22"/>
  <c r="AT29" i="22"/>
  <c r="AQ29" i="22"/>
  <c r="AP29" i="22"/>
  <c r="AM29" i="22"/>
  <c r="AH29" i="22"/>
  <c r="AE29" i="22"/>
  <c r="AF29" i="22" s="1"/>
  <c r="AD29" i="22"/>
  <c r="AA29" i="22"/>
  <c r="Z29" i="22"/>
  <c r="Y29" i="22"/>
  <c r="AW29" i="22" s="1"/>
  <c r="CB28" i="22"/>
  <c r="CA28" i="22"/>
  <c r="BZ28" i="22"/>
  <c r="BA28" i="22"/>
  <c r="AZ28" i="22"/>
  <c r="AY28" i="22"/>
  <c r="AT28" i="22"/>
  <c r="AQ28" i="22"/>
  <c r="AR28" i="22" s="1"/>
  <c r="AP28" i="22"/>
  <c r="AM28" i="22"/>
  <c r="AH28" i="22"/>
  <c r="AE28" i="22"/>
  <c r="AD28" i="22"/>
  <c r="AA28" i="22"/>
  <c r="Z28" i="22"/>
  <c r="Y28" i="22"/>
  <c r="AW28" i="22" s="1"/>
  <c r="CB27" i="22"/>
  <c r="CA27" i="22"/>
  <c r="BZ27" i="22"/>
  <c r="BA27" i="22"/>
  <c r="AZ27" i="22"/>
  <c r="AY27" i="22"/>
  <c r="AA27" i="22"/>
  <c r="AC27" i="22" s="1"/>
  <c r="Y27" i="22"/>
  <c r="CB26" i="22"/>
  <c r="CA26" i="22"/>
  <c r="BZ26" i="22"/>
  <c r="BA26" i="22"/>
  <c r="AZ26" i="22"/>
  <c r="AY26" i="22"/>
  <c r="AA26" i="22"/>
  <c r="Y26" i="22"/>
  <c r="CB25" i="22"/>
  <c r="CA25" i="22"/>
  <c r="BZ25" i="22"/>
  <c r="BA25" i="22"/>
  <c r="AZ25" i="22"/>
  <c r="AY25" i="22"/>
  <c r="AA25" i="22"/>
  <c r="Y25" i="22"/>
  <c r="CB24" i="22"/>
  <c r="CA24" i="22"/>
  <c r="BZ24" i="22"/>
  <c r="BA24" i="22"/>
  <c r="AZ24" i="22"/>
  <c r="AY24" i="22"/>
  <c r="AC24" i="22"/>
  <c r="AA24" i="22"/>
  <c r="Y24" i="22"/>
  <c r="CB23" i="22"/>
  <c r="CA23" i="22"/>
  <c r="BZ23" i="22"/>
  <c r="BA23" i="22"/>
  <c r="AZ23" i="22"/>
  <c r="AY23" i="22"/>
  <c r="AS23" i="22"/>
  <c r="AK23" i="22"/>
  <c r="AC23" i="22"/>
  <c r="AA23" i="22"/>
  <c r="Y23" i="22"/>
  <c r="CB22" i="22"/>
  <c r="CA22" i="22"/>
  <c r="BZ22" i="22"/>
  <c r="BA22" i="22"/>
  <c r="AZ22" i="22"/>
  <c r="AY22" i="22"/>
  <c r="AV22" i="22"/>
  <c r="AT22" i="22"/>
  <c r="AQ22" i="22"/>
  <c r="AR22" i="22" s="1"/>
  <c r="AP22" i="22"/>
  <c r="AN22" i="22"/>
  <c r="AM22" i="22"/>
  <c r="AJ22" i="22"/>
  <c r="AH22" i="22"/>
  <c r="AE22" i="22"/>
  <c r="AF22" i="22" s="1"/>
  <c r="AD22" i="22"/>
  <c r="AA22" i="22"/>
  <c r="Z22" i="22"/>
  <c r="Y22" i="22"/>
  <c r="AW22" i="22" s="1"/>
  <c r="CB21" i="22"/>
  <c r="CA21" i="22"/>
  <c r="BZ21" i="22"/>
  <c r="BW21" i="22"/>
  <c r="BA21" i="22"/>
  <c r="AZ21" i="22"/>
  <c r="AY21" i="22"/>
  <c r="AT21" i="22"/>
  <c r="AQ21" i="22"/>
  <c r="AR21" i="22" s="1"/>
  <c r="AP21" i="22"/>
  <c r="AM21" i="22"/>
  <c r="AH21" i="22"/>
  <c r="AE21" i="22"/>
  <c r="AD21" i="22"/>
  <c r="AA21" i="22"/>
  <c r="Z21" i="22"/>
  <c r="Y21" i="22"/>
  <c r="AW21" i="22" s="1"/>
  <c r="CB20" i="22"/>
  <c r="CA20" i="22"/>
  <c r="BZ20" i="22"/>
  <c r="BA20" i="22"/>
  <c r="AZ20" i="22"/>
  <c r="AY20" i="22"/>
  <c r="AA20" i="22"/>
  <c r="AC20" i="22" s="1"/>
  <c r="Y20" i="22"/>
  <c r="CB19" i="22"/>
  <c r="CA19" i="22"/>
  <c r="BZ19" i="22"/>
  <c r="BA19" i="22"/>
  <c r="AZ19" i="22"/>
  <c r="AY19" i="22"/>
  <c r="AA19" i="22"/>
  <c r="Y19" i="22"/>
  <c r="CB18" i="22"/>
  <c r="CA18" i="22"/>
  <c r="BZ18" i="22"/>
  <c r="BA18" i="22"/>
  <c r="AZ18" i="22"/>
  <c r="AY18" i="22"/>
  <c r="AA18" i="22"/>
  <c r="Y18" i="22"/>
  <c r="CB17" i="22"/>
  <c r="CA17" i="22"/>
  <c r="BZ17" i="22"/>
  <c r="BA17" i="22"/>
  <c r="AZ17" i="22"/>
  <c r="AY17" i="22"/>
  <c r="AA17" i="22"/>
  <c r="Y17" i="22"/>
  <c r="CB16" i="22"/>
  <c r="CA16" i="22"/>
  <c r="BZ16" i="22"/>
  <c r="BA16" i="22"/>
  <c r="AZ16" i="22"/>
  <c r="AY16" i="22"/>
  <c r="AA16" i="22"/>
  <c r="AC16" i="22" s="1"/>
  <c r="Y16" i="22"/>
  <c r="CB15" i="22"/>
  <c r="CA15" i="22"/>
  <c r="BZ15" i="22"/>
  <c r="BA15" i="22"/>
  <c r="AZ15" i="22"/>
  <c r="AY15" i="22"/>
  <c r="AV15" i="22"/>
  <c r="AN15" i="22"/>
  <c r="AJ15" i="22"/>
  <c r="AC15" i="22"/>
  <c r="AA15" i="22"/>
  <c r="Y15" i="22"/>
  <c r="AQ15" i="22" s="1"/>
  <c r="CB14" i="22"/>
  <c r="CA14" i="22"/>
  <c r="BZ14" i="22"/>
  <c r="BA14" i="22"/>
  <c r="AZ14" i="22"/>
  <c r="AY14" i="22"/>
  <c r="AV14" i="22"/>
  <c r="AT14" i="22"/>
  <c r="AQ14" i="22"/>
  <c r="AR14" i="22" s="1"/>
  <c r="AP14" i="22"/>
  <c r="AN14" i="22"/>
  <c r="AM14" i="22"/>
  <c r="AJ14" i="22"/>
  <c r="AH14" i="22"/>
  <c r="AE14" i="22"/>
  <c r="AF14" i="22" s="1"/>
  <c r="AD14" i="22"/>
  <c r="AA14" i="22"/>
  <c r="Z14" i="22"/>
  <c r="Y14" i="22"/>
  <c r="AW14" i="22" s="1"/>
  <c r="AX14" i="22" s="1"/>
  <c r="CB13" i="22"/>
  <c r="CA13" i="22"/>
  <c r="BZ13" i="22"/>
  <c r="BA13" i="22"/>
  <c r="AZ13" i="22"/>
  <c r="AY13" i="22"/>
  <c r="AA13" i="22"/>
  <c r="Z13" i="22"/>
  <c r="AP13" i="22" s="1"/>
  <c r="Y13" i="22"/>
  <c r="CB12" i="22"/>
  <c r="CA12" i="22"/>
  <c r="BZ12" i="22"/>
  <c r="BA12" i="22"/>
  <c r="AZ12" i="22"/>
  <c r="AY12" i="22"/>
  <c r="AA12" i="22"/>
  <c r="AC12" i="22" s="1"/>
  <c r="Y12" i="22"/>
  <c r="CB11" i="22"/>
  <c r="CA11" i="22"/>
  <c r="BZ11" i="22"/>
  <c r="BA11" i="22"/>
  <c r="AZ11" i="22"/>
  <c r="AY11" i="22"/>
  <c r="AC11" i="22"/>
  <c r="AA11" i="22"/>
  <c r="Y11" i="22"/>
  <c r="CB10" i="22"/>
  <c r="CA10" i="22"/>
  <c r="BZ10" i="22"/>
  <c r="BA10" i="22"/>
  <c r="AZ10" i="22"/>
  <c r="AY10" i="22"/>
  <c r="AA10" i="22"/>
  <c r="Z10" i="22"/>
  <c r="AM10" i="22" s="1"/>
  <c r="Y10" i="22"/>
  <c r="A10" i="22"/>
  <c r="P7" i="22"/>
  <c r="A7" i="22"/>
  <c r="P6" i="22"/>
  <c r="P5" i="22"/>
  <c r="P4" i="22"/>
  <c r="BD3" i="22"/>
  <c r="BC3" i="22"/>
  <c r="BB3" i="22"/>
  <c r="BA3" i="22"/>
  <c r="AP3" i="22"/>
  <c r="AO3" i="22"/>
  <c r="AM3" i="22"/>
  <c r="BX21" i="22" s="1"/>
  <c r="AL3" i="22"/>
  <c r="AJ3" i="22"/>
  <c r="AI3" i="22"/>
  <c r="BW28" i="22" s="1"/>
  <c r="AH3" i="22"/>
  <c r="AF3" i="22"/>
  <c r="AE3" i="22"/>
  <c r="AD3" i="22"/>
  <c r="AD4" i="22" s="1"/>
  <c r="AC3" i="22"/>
  <c r="AB3" i="22"/>
  <c r="AA3" i="22"/>
  <c r="Z3" i="22"/>
  <c r="Y3" i="22"/>
  <c r="X3" i="22"/>
  <c r="X4" i="22" s="1"/>
  <c r="P3" i="22"/>
  <c r="AT39" i="22" l="1"/>
  <c r="AG38" i="22"/>
  <c r="AN39" i="22"/>
  <c r="AK37" i="22"/>
  <c r="AV39" i="22"/>
  <c r="AP39" i="22"/>
  <c r="AW32" i="22"/>
  <c r="AW34" i="22"/>
  <c r="AE32" i="22"/>
  <c r="AQ32" i="22"/>
  <c r="AQ33" i="22"/>
  <c r="AK34" i="22"/>
  <c r="Z32" i="22"/>
  <c r="Z33" i="22"/>
  <c r="AH33" i="22"/>
  <c r="AT33" i="22"/>
  <c r="AM32" i="22"/>
  <c r="AN34" i="22"/>
  <c r="AK24" i="22"/>
  <c r="Z24" i="22"/>
  <c r="AG24" i="22" s="1"/>
  <c r="AW24" i="22"/>
  <c r="AE26" i="22"/>
  <c r="Z25" i="22"/>
  <c r="Z26" i="22"/>
  <c r="AN26" i="22"/>
  <c r="AT26" i="22"/>
  <c r="AW18" i="22"/>
  <c r="AW16" i="22"/>
  <c r="AE17" i="22"/>
  <c r="AE18" i="22"/>
  <c r="AN18" i="22"/>
  <c r="AG20" i="22"/>
  <c r="Z17" i="22"/>
  <c r="AM17" i="22" s="1"/>
  <c r="Z18" i="22"/>
  <c r="AM18" i="22" s="1"/>
  <c r="AO18" i="22" s="1"/>
  <c r="Z20" i="22"/>
  <c r="AP20" i="22" s="1"/>
  <c r="BV17" i="22"/>
  <c r="AQ18" i="22"/>
  <c r="AP17" i="22"/>
  <c r="AD18" i="22"/>
  <c r="AT18" i="22"/>
  <c r="AW10" i="22"/>
  <c r="AX10" i="22" s="1"/>
  <c r="AP10" i="22"/>
  <c r="AJ10" i="22"/>
  <c r="BV13" i="22"/>
  <c r="AM13" i="22"/>
  <c r="AD10" i="22"/>
  <c r="AS12" i="22"/>
  <c r="AD13" i="22"/>
  <c r="AE10" i="22"/>
  <c r="AF10" i="22" s="1"/>
  <c r="AN10" i="22"/>
  <c r="AO10" i="22" s="1"/>
  <c r="AV10" i="22"/>
  <c r="AR15" i="22"/>
  <c r="AX3" i="22"/>
  <c r="AR3" i="22"/>
  <c r="AV3" i="22"/>
  <c r="CC10" i="22"/>
  <c r="AH10" i="22" s="1"/>
  <c r="AK12" i="22"/>
  <c r="AB39" i="22"/>
  <c r="AB37" i="22"/>
  <c r="AQ37" i="22" s="1"/>
  <c r="AB35" i="22"/>
  <c r="CC35" i="22" s="1"/>
  <c r="AB40" i="22"/>
  <c r="AT40" i="22" s="1"/>
  <c r="AB38" i="22"/>
  <c r="AB36" i="22"/>
  <c r="AB24" i="22"/>
  <c r="AT24" i="22" s="1"/>
  <c r="AB20" i="22"/>
  <c r="AE20" i="22" s="1"/>
  <c r="AB23" i="22"/>
  <c r="AB16" i="22"/>
  <c r="AE16" i="22" s="1"/>
  <c r="AB12" i="22"/>
  <c r="AQ12" i="22" s="1"/>
  <c r="AB27" i="22"/>
  <c r="AQ27" i="22" s="1"/>
  <c r="BY35" i="22"/>
  <c r="BY36" i="22"/>
  <c r="BY39" i="22"/>
  <c r="BW17" i="22"/>
  <c r="BX38" i="22"/>
  <c r="AB11" i="22"/>
  <c r="AQ11" i="22" s="1"/>
  <c r="BW13" i="22"/>
  <c r="AO14" i="22"/>
  <c r="AG16" i="22"/>
  <c r="AB18" i="22"/>
  <c r="CC18" i="22" s="1"/>
  <c r="AH18" i="22" s="1"/>
  <c r="AC18" i="22"/>
  <c r="AU21" i="22"/>
  <c r="AK27" i="22"/>
  <c r="AT27" i="22"/>
  <c r="Z27" i="22"/>
  <c r="AW27" i="22"/>
  <c r="BX31" i="22"/>
  <c r="AU3" i="22"/>
  <c r="BW10" i="22"/>
  <c r="AB10" i="22"/>
  <c r="BV10" i="22"/>
  <c r="AC10" i="22"/>
  <c r="BY10" i="22"/>
  <c r="AV12" i="22"/>
  <c r="AT12" i="22"/>
  <c r="AD12" i="22"/>
  <c r="AP12" i="22"/>
  <c r="Z12" i="22"/>
  <c r="AJ12" i="22" s="1"/>
  <c r="BX14" i="22"/>
  <c r="BX16" i="22"/>
  <c r="AX21" i="22"/>
  <c r="BV30" i="22"/>
  <c r="AC30" i="22"/>
  <c r="BY30" i="22"/>
  <c r="AB30" i="22"/>
  <c r="BX30" i="22"/>
  <c r="BW30" i="22"/>
  <c r="BW39" i="22"/>
  <c r="BW35" i="22"/>
  <c r="BW36" i="22"/>
  <c r="BW33" i="22"/>
  <c r="BW31" i="22"/>
  <c r="BW29" i="22"/>
  <c r="BW25" i="22"/>
  <c r="BW20" i="22"/>
  <c r="AY3" i="22"/>
  <c r="BX10" i="22"/>
  <c r="AB15" i="22"/>
  <c r="BX33" i="22"/>
  <c r="AS3" i="22"/>
  <c r="A11" i="22"/>
  <c r="X10" i="22"/>
  <c r="B10" i="22"/>
  <c r="U10" i="22" s="1"/>
  <c r="BI10" i="22" s="1"/>
  <c r="AG12" i="22"/>
  <c r="AW12" i="22"/>
  <c r="BW14" i="22"/>
  <c r="AB14" i="22"/>
  <c r="CC14" i="22" s="1"/>
  <c r="BV14" i="22"/>
  <c r="AC14" i="22"/>
  <c r="BY14" i="22"/>
  <c r="AV16" i="22"/>
  <c r="AN16" i="22"/>
  <c r="AQ16" i="22"/>
  <c r="AT16" i="22"/>
  <c r="AU16" i="22" s="1"/>
  <c r="AD16" i="22"/>
  <c r="Z16" i="22"/>
  <c r="AS16" i="22" s="1"/>
  <c r="AT19" i="22"/>
  <c r="AP19" i="22"/>
  <c r="Z19" i="22"/>
  <c r="AJ19" i="22" s="1"/>
  <c r="AS19" i="22"/>
  <c r="AN19" i="22"/>
  <c r="AQ19" i="22"/>
  <c r="AK19" i="22"/>
  <c r="AG19" i="22"/>
  <c r="BY23" i="22"/>
  <c r="BX25" i="22"/>
  <c r="BW26" i="22"/>
  <c r="BV26" i="22"/>
  <c r="AC26" i="22"/>
  <c r="BX26" i="22"/>
  <c r="BY26" i="22"/>
  <c r="AB26" i="22"/>
  <c r="AB34" i="22"/>
  <c r="AQ34" i="22" s="1"/>
  <c r="AG11" i="22"/>
  <c r="AS11" i="22"/>
  <c r="AW11" i="22"/>
  <c r="BX13" i="22"/>
  <c r="AG15" i="22"/>
  <c r="AS15" i="22"/>
  <c r="AW15" i="22"/>
  <c r="AX15" i="22" s="1"/>
  <c r="BX17" i="22"/>
  <c r="BX19" i="22"/>
  <c r="BX20" i="22"/>
  <c r="BW22" i="22"/>
  <c r="BV22" i="22"/>
  <c r="AC22" i="22"/>
  <c r="AQ23" i="22"/>
  <c r="AM23" i="22"/>
  <c r="AE23" i="22"/>
  <c r="AT23" i="22"/>
  <c r="AU23" i="22" s="1"/>
  <c r="AP23" i="22"/>
  <c r="AH23" i="22"/>
  <c r="AI23" i="22" s="1"/>
  <c r="AD23" i="22"/>
  <c r="Z23" i="22"/>
  <c r="CC23" i="22" s="1"/>
  <c r="BV35" i="22"/>
  <c r="BV36" i="22"/>
  <c r="BU36" i="22" s="1"/>
  <c r="AG10" i="22"/>
  <c r="AK10" i="22"/>
  <c r="AL10" i="22" s="1"/>
  <c r="AS10" i="22"/>
  <c r="Z11" i="22"/>
  <c r="AJ11" i="22" s="1"/>
  <c r="AD11" i="22"/>
  <c r="AP11" i="22"/>
  <c r="AT11" i="22"/>
  <c r="AB13" i="22"/>
  <c r="AW13" i="22" s="1"/>
  <c r="AJ13" i="22"/>
  <c r="AV13" i="22"/>
  <c r="BY13" i="22"/>
  <c r="AG14" i="22"/>
  <c r="AI14" i="22" s="1"/>
  <c r="AK14" i="22"/>
  <c r="AL14" i="22" s="1"/>
  <c r="AS14" i="22"/>
  <c r="AU14" i="22" s="1"/>
  <c r="Z15" i="22"/>
  <c r="AD15" i="22"/>
  <c r="AH15" i="22"/>
  <c r="AI15" i="22" s="1"/>
  <c r="AP15" i="22"/>
  <c r="AT15" i="22"/>
  <c r="AU15" i="22" s="1"/>
  <c r="BW15" i="22"/>
  <c r="AB17" i="22"/>
  <c r="CC17" i="22" s="1"/>
  <c r="AH17" i="22" s="1"/>
  <c r="AJ17" i="22"/>
  <c r="AN17" i="22"/>
  <c r="AV17" i="22"/>
  <c r="BY17" i="22"/>
  <c r="AG18" i="22"/>
  <c r="AK18" i="22"/>
  <c r="AB19" i="22"/>
  <c r="AE19" i="22" s="1"/>
  <c r="CC21" i="22"/>
  <c r="AB22" i="22"/>
  <c r="AO22" i="22"/>
  <c r="BX22" i="22"/>
  <c r="BX23" i="22"/>
  <c r="AG23" i="22"/>
  <c r="AW23" i="22"/>
  <c r="AN24" i="22"/>
  <c r="AQ24" i="22"/>
  <c r="AE24" i="22"/>
  <c r="BV25" i="22"/>
  <c r="AC25" i="22"/>
  <c r="AB25" i="22"/>
  <c r="AW25" i="22" s="1"/>
  <c r="BV28" i="22"/>
  <c r="AC28" i="22"/>
  <c r="BY28" i="22"/>
  <c r="AB28" i="22"/>
  <c r="CC28" i="22" s="1"/>
  <c r="BX28" i="22"/>
  <c r="BX29" i="22"/>
  <c r="AC32" i="22"/>
  <c r="AB32" i="22"/>
  <c r="CC32" i="22" s="1"/>
  <c r="AH32" i="22" s="1"/>
  <c r="AK15" i="22"/>
  <c r="AL15" i="22" s="1"/>
  <c r="BW19" i="22"/>
  <c r="AF21" i="22"/>
  <c r="AN23" i="22"/>
  <c r="AV23" i="22"/>
  <c r="AU30" i="22"/>
  <c r="CC31" i="22"/>
  <c r="AU35" i="22"/>
  <c r="CC39" i="22"/>
  <c r="AH39" i="22" s="1"/>
  <c r="AM11" i="22"/>
  <c r="AC13" i="22"/>
  <c r="AG13" i="22"/>
  <c r="AS13" i="22"/>
  <c r="AE15" i="22"/>
  <c r="AM15" i="22"/>
  <c r="AO15" i="22" s="1"/>
  <c r="AC17" i="22"/>
  <c r="AG17" i="22"/>
  <c r="AK17" i="22"/>
  <c r="AS17" i="22"/>
  <c r="AC19" i="22"/>
  <c r="AV20" i="22"/>
  <c r="AM20" i="22"/>
  <c r="BV21" i="22"/>
  <c r="BU21" i="22" s="1"/>
  <c r="AC21" i="22"/>
  <c r="BY21" i="22"/>
  <c r="AB21" i="22"/>
  <c r="AX22" i="22"/>
  <c r="BY22" i="22"/>
  <c r="CC22" i="22"/>
  <c r="AJ23" i="22"/>
  <c r="AL23" i="22" s="1"/>
  <c r="BV23" i="22"/>
  <c r="AQ38" i="22"/>
  <c r="AM38" i="22"/>
  <c r="AE38" i="22"/>
  <c r="AT38" i="22"/>
  <c r="AD38" i="22"/>
  <c r="Z38" i="22"/>
  <c r="AK38" i="22"/>
  <c r="AW38" i="22"/>
  <c r="AP38" i="22"/>
  <c r="AS38" i="22"/>
  <c r="AN38" i="22"/>
  <c r="BV38" i="22"/>
  <c r="BV39" i="22"/>
  <c r="AJ21" i="22"/>
  <c r="AN21" i="22"/>
  <c r="AO21" i="22" s="1"/>
  <c r="AV21" i="22"/>
  <c r="AG22" i="22"/>
  <c r="AI22" i="22" s="1"/>
  <c r="AK22" i="22"/>
  <c r="AL22" i="22" s="1"/>
  <c r="AS22" i="22"/>
  <c r="AU22" i="22" s="1"/>
  <c r="AN25" i="22"/>
  <c r="AV25" i="22"/>
  <c r="AG26" i="22"/>
  <c r="AK26" i="22"/>
  <c r="AS26" i="22"/>
  <c r="AF28" i="22"/>
  <c r="BV29" i="22"/>
  <c r="AC29" i="22"/>
  <c r="BY29" i="22"/>
  <c r="AB29" i="22"/>
  <c r="CC29" i="22" s="1"/>
  <c r="AR29" i="22"/>
  <c r="AF30" i="22"/>
  <c r="BV31" i="22"/>
  <c r="BU31" i="22" s="1"/>
  <c r="AC31" i="22"/>
  <c r="BY31" i="22"/>
  <c r="AB31" i="22"/>
  <c r="AR31" i="22"/>
  <c r="BV33" i="22"/>
  <c r="AC33" i="22"/>
  <c r="AB33" i="22"/>
  <c r="CC33" i="22" s="1"/>
  <c r="BX36" i="22"/>
  <c r="AI36" i="22"/>
  <c r="AX36" i="22"/>
  <c r="AE37" i="22"/>
  <c r="AW37" i="22"/>
  <c r="AT37" i="22"/>
  <c r="Z37" i="22"/>
  <c r="CC37" i="22" s="1"/>
  <c r="AH37" i="22" s="1"/>
  <c r="AE40" i="22"/>
  <c r="AJ40" i="22"/>
  <c r="Z40" i="22"/>
  <c r="AS40" i="22" s="1"/>
  <c r="AW40" i="22"/>
  <c r="AP40" i="22"/>
  <c r="AV40" i="22"/>
  <c r="AG40" i="22"/>
  <c r="AG21" i="22"/>
  <c r="AI21" i="22" s="1"/>
  <c r="AK21" i="22"/>
  <c r="AL21" i="22" s="1"/>
  <c r="AS21" i="22"/>
  <c r="AS25" i="22"/>
  <c r="BX27" i="22"/>
  <c r="CC30" i="22"/>
  <c r="AQ35" i="22"/>
  <c r="AM35" i="22"/>
  <c r="AO35" i="22" s="1"/>
  <c r="AE35" i="22"/>
  <c r="AW35" i="22"/>
  <c r="AG35" i="22"/>
  <c r="AP35" i="22"/>
  <c r="AJ35" i="22"/>
  <c r="AL35" i="22" s="1"/>
  <c r="AV35" i="22"/>
  <c r="AH35" i="22"/>
  <c r="AI35" i="22" s="1"/>
  <c r="AD35" i="22"/>
  <c r="AS35" i="22"/>
  <c r="AO36" i="22"/>
  <c r="BX39" i="22"/>
  <c r="AJ28" i="22"/>
  <c r="AN28" i="22"/>
  <c r="AO28" i="22" s="1"/>
  <c r="AV28" i="22"/>
  <c r="AX28" i="22" s="1"/>
  <c r="AJ29" i="22"/>
  <c r="AN29" i="22"/>
  <c r="AO29" i="22" s="1"/>
  <c r="AV29" i="22"/>
  <c r="AX29" i="22" s="1"/>
  <c r="AJ30" i="22"/>
  <c r="AN30" i="22"/>
  <c r="AO30" i="22" s="1"/>
  <c r="AV30" i="22"/>
  <c r="AX30" i="22" s="1"/>
  <c r="AJ31" i="22"/>
  <c r="AN31" i="22"/>
  <c r="AO31" i="22" s="1"/>
  <c r="AV31" i="22"/>
  <c r="AX31" i="22" s="1"/>
  <c r="AN32" i="22"/>
  <c r="AJ33" i="22"/>
  <c r="AN33" i="22"/>
  <c r="AT34" i="22"/>
  <c r="AP34" i="22"/>
  <c r="AR34" i="22" s="1"/>
  <c r="Z34" i="22"/>
  <c r="AE34" i="22"/>
  <c r="BX35" i="22"/>
  <c r="AQ39" i="22"/>
  <c r="AR39" i="22" s="1"/>
  <c r="AM39" i="22"/>
  <c r="AO39" i="22" s="1"/>
  <c r="AE39" i="22"/>
  <c r="AW39" i="22"/>
  <c r="AX39" i="22" s="1"/>
  <c r="AG39" i="22"/>
  <c r="AD39" i="22"/>
  <c r="AK39" i="22"/>
  <c r="AL39" i="22" s="1"/>
  <c r="AS39" i="22"/>
  <c r="AU39" i="22" s="1"/>
  <c r="AG28" i="22"/>
  <c r="AI28" i="22" s="1"/>
  <c r="AK28" i="22"/>
  <c r="AL28" i="22" s="1"/>
  <c r="AS28" i="22"/>
  <c r="AU28" i="22" s="1"/>
  <c r="AG29" i="22"/>
  <c r="AI29" i="22" s="1"/>
  <c r="AK29" i="22"/>
  <c r="AS29" i="22"/>
  <c r="AU29" i="22" s="1"/>
  <c r="AG30" i="22"/>
  <c r="AI30" i="22" s="1"/>
  <c r="AK30" i="22"/>
  <c r="AL30" i="22" s="1"/>
  <c r="AS30" i="22"/>
  <c r="AG31" i="22"/>
  <c r="AI31" i="22" s="1"/>
  <c r="AK31" i="22"/>
  <c r="AL31" i="22" s="1"/>
  <c r="AS31" i="22"/>
  <c r="AU31" i="22" s="1"/>
  <c r="AG32" i="22"/>
  <c r="AK32" i="22"/>
  <c r="AG33" i="22"/>
  <c r="AK33" i="22"/>
  <c r="AQ36" i="22"/>
  <c r="AR36" i="22" s="1"/>
  <c r="AM36" i="22"/>
  <c r="AE36" i="22"/>
  <c r="AF36" i="22" s="1"/>
  <c r="AT36" i="22"/>
  <c r="AJ36" i="22"/>
  <c r="AL36" i="22" s="1"/>
  <c r="AD36" i="22"/>
  <c r="Z36" i="22"/>
  <c r="CC36" i="22" s="1"/>
  <c r="AS36" i="22"/>
  <c r="BX37" i="22"/>
  <c r="T33" i="20"/>
  <c r="AN40" i="22" l="1"/>
  <c r="AQ40" i="22"/>
  <c r="AK40" i="22"/>
  <c r="AL40" i="22" s="1"/>
  <c r="AN37" i="22"/>
  <c r="AO37" i="22" s="1"/>
  <c r="AS37" i="22"/>
  <c r="AU37" i="22" s="1"/>
  <c r="AF39" i="22"/>
  <c r="AX40" i="22"/>
  <c r="AU40" i="22"/>
  <c r="AJ37" i="22"/>
  <c r="AL37" i="22" s="1"/>
  <c r="CC38" i="22"/>
  <c r="AH38" i="22" s="1"/>
  <c r="AI38" i="22" s="1"/>
  <c r="AV38" i="22"/>
  <c r="AP37" i="22"/>
  <c r="AR37" i="22" s="1"/>
  <c r="AV37" i="22"/>
  <c r="AM37" i="22"/>
  <c r="AD37" i="22"/>
  <c r="AF37" i="22" s="1"/>
  <c r="BX40" i="22"/>
  <c r="AI39" i="22"/>
  <c r="AD40" i="22"/>
  <c r="AF40" i="22" s="1"/>
  <c r="AM40" i="22"/>
  <c r="AG37" i="22"/>
  <c r="AI37" i="22" s="1"/>
  <c r="AX38" i="22"/>
  <c r="AJ38" i="22"/>
  <c r="BW38" i="22"/>
  <c r="BU38" i="22" s="1"/>
  <c r="AT32" i="22"/>
  <c r="AE33" i="22"/>
  <c r="AW33" i="22"/>
  <c r="AI32" i="22"/>
  <c r="AP32" i="22"/>
  <c r="AR32" i="22" s="1"/>
  <c r="AD32" i="22"/>
  <c r="AF32" i="22" s="1"/>
  <c r="AI33" i="22"/>
  <c r="CC34" i="22"/>
  <c r="AH34" i="22" s="1"/>
  <c r="AI34" i="22" s="1"/>
  <c r="AG34" i="22"/>
  <c r="AV32" i="22"/>
  <c r="AX32" i="22" s="1"/>
  <c r="BY32" i="22"/>
  <c r="AV34" i="22"/>
  <c r="AX34" i="22" s="1"/>
  <c r="AP33" i="22"/>
  <c r="AR33" i="22" s="1"/>
  <c r="AD33" i="22"/>
  <c r="AF33" i="22" s="1"/>
  <c r="AS34" i="22"/>
  <c r="AU34" i="22" s="1"/>
  <c r="BW34" i="22"/>
  <c r="AS32" i="22"/>
  <c r="AU32" i="22" s="1"/>
  <c r="AD34" i="22"/>
  <c r="AF34" i="22" s="1"/>
  <c r="AV33" i="22"/>
  <c r="AX33" i="22" s="1"/>
  <c r="AO32" i="22"/>
  <c r="BY33" i="22"/>
  <c r="BU33" i="22" s="1"/>
  <c r="BW32" i="22"/>
  <c r="AM34" i="22"/>
  <c r="AO34" i="22" s="1"/>
  <c r="AS33" i="22"/>
  <c r="AU33" i="22" s="1"/>
  <c r="AL32" i="22"/>
  <c r="BC32" i="22" s="1"/>
  <c r="AJ34" i="22"/>
  <c r="AL34" i="22" s="1"/>
  <c r="AJ32" i="22"/>
  <c r="BX32" i="22"/>
  <c r="BV32" i="22"/>
  <c r="BU32" i="22" s="1"/>
  <c r="BB32" i="22" s="1"/>
  <c r="V32" i="22" s="1"/>
  <c r="AM33" i="22"/>
  <c r="AO33" i="22" s="1"/>
  <c r="AU25" i="22"/>
  <c r="AK25" i="22"/>
  <c r="CC26" i="22"/>
  <c r="AH26" i="22" s="1"/>
  <c r="AI26" i="22" s="1"/>
  <c r="AQ26" i="22"/>
  <c r="AN27" i="22"/>
  <c r="AE27" i="22"/>
  <c r="AQ25" i="22"/>
  <c r="AW26" i="22"/>
  <c r="AX25" i="22"/>
  <c r="AT25" i="22"/>
  <c r="AE25" i="22"/>
  <c r="AO24" i="22"/>
  <c r="AO27" i="22"/>
  <c r="AM24" i="22"/>
  <c r="CC27" i="22"/>
  <c r="AH27" i="22" s="1"/>
  <c r="AG27" i="22"/>
  <c r="AM27" i="22"/>
  <c r="AP25" i="22"/>
  <c r="AD25" i="22"/>
  <c r="AF25" i="22" s="1"/>
  <c r="AM25" i="22"/>
  <c r="AS24" i="22"/>
  <c r="AU24" i="22" s="1"/>
  <c r="AU26" i="22"/>
  <c r="AO25" i="22"/>
  <c r="CC25" i="22"/>
  <c r="AH25" i="22" s="1"/>
  <c r="AR24" i="22"/>
  <c r="BX24" i="22"/>
  <c r="BW27" i="22"/>
  <c r="AD27" i="22"/>
  <c r="AF27" i="22" s="1"/>
  <c r="AP27" i="22"/>
  <c r="BY24" i="22"/>
  <c r="CC24" i="22"/>
  <c r="AJ26" i="22"/>
  <c r="AD26" i="22"/>
  <c r="AV26" i="22"/>
  <c r="AP26" i="22"/>
  <c r="AM26" i="22"/>
  <c r="AO26" i="22" s="1"/>
  <c r="AU27" i="22"/>
  <c r="BV24" i="22"/>
  <c r="AP24" i="22"/>
  <c r="AV24" i="22"/>
  <c r="AX24" i="22" s="1"/>
  <c r="BW24" i="22"/>
  <c r="AS27" i="22"/>
  <c r="BV27" i="22"/>
  <c r="AG25" i="22"/>
  <c r="AI25" i="22" s="1"/>
  <c r="AL26" i="22"/>
  <c r="AJ25" i="22"/>
  <c r="AL25" i="22" s="1"/>
  <c r="BY25" i="22"/>
  <c r="AD24" i="22"/>
  <c r="AF24" i="22" s="1"/>
  <c r="AJ24" i="22"/>
  <c r="AL24" i="22" s="1"/>
  <c r="AJ27" i="22"/>
  <c r="AV27" i="22"/>
  <c r="AX27" i="22" s="1"/>
  <c r="AF26" i="22"/>
  <c r="AQ20" i="22"/>
  <c r="CC20" i="22"/>
  <c r="AH20" i="22" s="1"/>
  <c r="AI20" i="22" s="1"/>
  <c r="AW20" i="22"/>
  <c r="AX20" i="22" s="1"/>
  <c r="AT20" i="22"/>
  <c r="AN20" i="22"/>
  <c r="AK20" i="22"/>
  <c r="AX16" i="22"/>
  <c r="AT17" i="22"/>
  <c r="AU17" i="22" s="1"/>
  <c r="AW19" i="22"/>
  <c r="AK16" i="22"/>
  <c r="AQ17" i="22"/>
  <c r="AR17" i="22" s="1"/>
  <c r="AW17" i="22"/>
  <c r="AX17" i="22" s="1"/>
  <c r="AI17" i="22"/>
  <c r="AL19" i="22"/>
  <c r="AF18" i="22"/>
  <c r="AR20" i="22"/>
  <c r="BW18" i="22"/>
  <c r="AJ18" i="22"/>
  <c r="AD20" i="22"/>
  <c r="AJ20" i="22"/>
  <c r="AL20" i="22" s="1"/>
  <c r="AS18" i="22"/>
  <c r="AU18" i="22" s="1"/>
  <c r="AM19" i="22"/>
  <c r="AO19" i="22" s="1"/>
  <c r="AV19" i="22"/>
  <c r="AD19" i="22"/>
  <c r="AF19" i="22" s="1"/>
  <c r="AF16" i="22"/>
  <c r="AP16" i="22"/>
  <c r="AR16" i="22" s="1"/>
  <c r="BY18" i="22"/>
  <c r="AD17" i="22"/>
  <c r="AF17" i="22" s="1"/>
  <c r="AP18" i="22"/>
  <c r="AR18" i="22" s="1"/>
  <c r="AV18" i="22"/>
  <c r="AX18" i="22" s="1"/>
  <c r="AI18" i="22"/>
  <c r="AS20" i="22"/>
  <c r="AL17" i="22"/>
  <c r="BV20" i="22"/>
  <c r="AL18" i="22"/>
  <c r="AO17" i="22"/>
  <c r="AM16" i="22"/>
  <c r="AJ16" i="22"/>
  <c r="BX18" i="22"/>
  <c r="BV18" i="22"/>
  <c r="BY20" i="22"/>
  <c r="AE12" i="22"/>
  <c r="AN12" i="22"/>
  <c r="AQ13" i="22"/>
  <c r="AR13" i="22" s="1"/>
  <c r="AN11" i="22"/>
  <c r="AO11" i="22" s="1"/>
  <c r="CC13" i="22"/>
  <c r="AH13" i="22" s="1"/>
  <c r="AI13" i="22" s="1"/>
  <c r="AT13" i="22"/>
  <c r="AU13" i="22" s="1"/>
  <c r="AX13" i="22"/>
  <c r="AN13" i="22"/>
  <c r="AO13" i="22" s="1"/>
  <c r="AR11" i="22"/>
  <c r="AK13" i="22"/>
  <c r="AL13" i="22" s="1"/>
  <c r="AE11" i="22"/>
  <c r="AF11" i="22" s="1"/>
  <c r="AK11" i="22"/>
  <c r="AL11" i="22" s="1"/>
  <c r="AI10" i="22"/>
  <c r="AT10" i="22"/>
  <c r="AU10" i="22" s="1"/>
  <c r="AQ10" i="22"/>
  <c r="AR10" i="22" s="1"/>
  <c r="AE13" i="22"/>
  <c r="AF13" i="22" s="1"/>
  <c r="BC13" i="22" s="1"/>
  <c r="AU12" i="22"/>
  <c r="AU11" i="22"/>
  <c r="AM12" i="22"/>
  <c r="AV11" i="22"/>
  <c r="AX11" i="22" s="1"/>
  <c r="AF12" i="22"/>
  <c r="AX12" i="22"/>
  <c r="AR12" i="22"/>
  <c r="BU17" i="22"/>
  <c r="BU13" i="22"/>
  <c r="BC36" i="22"/>
  <c r="BB21" i="22"/>
  <c r="V21" i="22" s="1"/>
  <c r="CC40" i="22"/>
  <c r="AH40" i="22" s="1"/>
  <c r="AI40" i="22" s="1"/>
  <c r="BY40" i="22"/>
  <c r="BC31" i="22"/>
  <c r="BV11" i="22"/>
  <c r="CC11" i="22"/>
  <c r="AH11" i="22" s="1"/>
  <c r="AI11" i="22" s="1"/>
  <c r="AU36" i="22"/>
  <c r="AR35" i="22"/>
  <c r="BB31" i="22"/>
  <c r="V31" i="22" s="1"/>
  <c r="AO38" i="22"/>
  <c r="AR38" i="22"/>
  <c r="BU35" i="22"/>
  <c r="AR23" i="22"/>
  <c r="A12" i="22"/>
  <c r="X11" i="22"/>
  <c r="B11" i="22"/>
  <c r="U11" i="22" s="1"/>
  <c r="BI11" i="22" s="1"/>
  <c r="BJ11" i="22" s="1"/>
  <c r="J11" i="22" s="1"/>
  <c r="BX11" i="22"/>
  <c r="BW37" i="22"/>
  <c r="CC12" i="22"/>
  <c r="AH12" i="22" s="1"/>
  <c r="AI12" i="22" s="1"/>
  <c r="BV12" i="22"/>
  <c r="BY37" i="22"/>
  <c r="BX34" i="22"/>
  <c r="AX35" i="22"/>
  <c r="BV34" i="22"/>
  <c r="BC29" i="22"/>
  <c r="AL38" i="22"/>
  <c r="AU38" i="22"/>
  <c r="AO23" i="22"/>
  <c r="BC28" i="22"/>
  <c r="AX23" i="22"/>
  <c r="BV15" i="22"/>
  <c r="CC15" i="22"/>
  <c r="BY15" i="22"/>
  <c r="BV40" i="22"/>
  <c r="BC22" i="22"/>
  <c r="BU26" i="22"/>
  <c r="AR19" i="22"/>
  <c r="CC19" i="22"/>
  <c r="AH19" i="22" s="1"/>
  <c r="AI19" i="22" s="1"/>
  <c r="BV19" i="22"/>
  <c r="AU19" i="22"/>
  <c r="CC16" i="22"/>
  <c r="AH16" i="22" s="1"/>
  <c r="AI16" i="22" s="1"/>
  <c r="BV16" i="22"/>
  <c r="BC14" i="22"/>
  <c r="AO12" i="22"/>
  <c r="BU10" i="22"/>
  <c r="BY12" i="22"/>
  <c r="AL33" i="22"/>
  <c r="AL29" i="22"/>
  <c r="AF35" i="22"/>
  <c r="AR40" i="22"/>
  <c r="AX37" i="22"/>
  <c r="BU29" i="22"/>
  <c r="BW23" i="22"/>
  <c r="BU23" i="22" s="1"/>
  <c r="BU39" i="22"/>
  <c r="AF38" i="22"/>
  <c r="BC21" i="22"/>
  <c r="AF20" i="22"/>
  <c r="AO20" i="22"/>
  <c r="AF15" i="22"/>
  <c r="BC15" i="22" s="1"/>
  <c r="BU28" i="22"/>
  <c r="BW11" i="22"/>
  <c r="BV37" i="22"/>
  <c r="BU37" i="22" s="1"/>
  <c r="AF23" i="22"/>
  <c r="BU22" i="22"/>
  <c r="BB22" i="22" s="1"/>
  <c r="V22" i="22" s="1"/>
  <c r="AO16" i="22"/>
  <c r="BU14" i="22"/>
  <c r="BW12" i="22"/>
  <c r="BW40" i="22"/>
  <c r="BC30" i="22"/>
  <c r="AL27" i="22"/>
  <c r="BY16" i="22"/>
  <c r="BY38" i="22"/>
  <c r="BX15" i="22"/>
  <c r="BJ10" i="22"/>
  <c r="BK10" i="22"/>
  <c r="BX12" i="22"/>
  <c r="BW16" i="22"/>
  <c r="BU30" i="22"/>
  <c r="BB30" i="22" s="1"/>
  <c r="V30" i="22" s="1"/>
  <c r="BY19" i="22"/>
  <c r="AR27" i="22"/>
  <c r="BU18" i="22"/>
  <c r="BY11" i="22"/>
  <c r="BY27" i="22"/>
  <c r="BY34" i="22"/>
  <c r="AL12" i="22"/>
  <c r="T45" i="20"/>
  <c r="T44" i="20"/>
  <c r="T42" i="20"/>
  <c r="AO40" i="22" l="1"/>
  <c r="BC40" i="22" s="1"/>
  <c r="BC39" i="22"/>
  <c r="BC37" i="22"/>
  <c r="BB37" i="22" s="1"/>
  <c r="V37" i="22" s="1"/>
  <c r="BB39" i="22"/>
  <c r="V39" i="22" s="1"/>
  <c r="BC34" i="22"/>
  <c r="BC33" i="22"/>
  <c r="CE33" i="22" s="1"/>
  <c r="BU25" i="22"/>
  <c r="AR26" i="22"/>
  <c r="BC25" i="22"/>
  <c r="CE25" i="22" s="1"/>
  <c r="AX26" i="22"/>
  <c r="BC26" i="22" s="1"/>
  <c r="AR25" i="22"/>
  <c r="AI27" i="22"/>
  <c r="BC27" i="22" s="1"/>
  <c r="BU27" i="22"/>
  <c r="BU24" i="22"/>
  <c r="AH24" i="22"/>
  <c r="AI24" i="22" s="1"/>
  <c r="BC24" i="22" s="1"/>
  <c r="BU19" i="22"/>
  <c r="BC17" i="22"/>
  <c r="K17" i="22" s="1"/>
  <c r="AU20" i="22"/>
  <c r="AX19" i="22"/>
  <c r="BC19" i="22" s="1"/>
  <c r="AL16" i="22"/>
  <c r="BC18" i="22"/>
  <c r="CE18" i="22" s="1"/>
  <c r="BU20" i="22"/>
  <c r="BC16" i="22"/>
  <c r="K16" i="22" s="1"/>
  <c r="BC10" i="22"/>
  <c r="BC11" i="22"/>
  <c r="BB13" i="22"/>
  <c r="V13" i="22" s="1"/>
  <c r="BC12" i="22"/>
  <c r="K12" i="22" s="1"/>
  <c r="CE37" i="22"/>
  <c r="K33" i="22"/>
  <c r="CE28" i="22"/>
  <c r="BD28" i="22"/>
  <c r="K28" i="22"/>
  <c r="CE29" i="22"/>
  <c r="K29" i="22"/>
  <c r="BU34" i="22"/>
  <c r="K10" i="22"/>
  <c r="CE10" i="22"/>
  <c r="X12" i="22"/>
  <c r="B12" i="22"/>
  <c r="U12" i="22" s="1"/>
  <c r="BI12" i="22" s="1"/>
  <c r="BK12" i="22" s="1"/>
  <c r="A13" i="22"/>
  <c r="CE32" i="22"/>
  <c r="BD32" i="22"/>
  <c r="K32" i="22"/>
  <c r="CE39" i="22"/>
  <c r="K18" i="22"/>
  <c r="BB28" i="22"/>
  <c r="V28" i="22" s="1"/>
  <c r="BC20" i="22"/>
  <c r="K14" i="22"/>
  <c r="CE14" i="22"/>
  <c r="K22" i="22"/>
  <c r="CE22" i="22"/>
  <c r="BD22" i="22"/>
  <c r="BU15" i="22"/>
  <c r="BB15" i="22" s="1"/>
  <c r="V15" i="22" s="1"/>
  <c r="BU12" i="22"/>
  <c r="BB12" i="22" s="1"/>
  <c r="V12" i="22" s="1"/>
  <c r="CE17" i="22"/>
  <c r="BU11" i="22"/>
  <c r="BB11" i="22" s="1"/>
  <c r="V11" i="22" s="1"/>
  <c r="CE31" i="22"/>
  <c r="BD31" i="22"/>
  <c r="K31" i="22"/>
  <c r="CE36" i="22"/>
  <c r="BB17" i="22"/>
  <c r="V17" i="22" s="1"/>
  <c r="K11" i="22"/>
  <c r="BL10" i="22"/>
  <c r="BL11" i="22"/>
  <c r="J10" i="22"/>
  <c r="BB14" i="22"/>
  <c r="V14" i="22" s="1"/>
  <c r="BC23" i="22"/>
  <c r="CE13" i="22"/>
  <c r="K13" i="22"/>
  <c r="CE21" i="22"/>
  <c r="BD21" i="22"/>
  <c r="K21" i="22"/>
  <c r="BB29" i="22"/>
  <c r="V29" i="22" s="1"/>
  <c r="BC35" i="22"/>
  <c r="BB10" i="22"/>
  <c r="V10" i="22" s="1"/>
  <c r="BU16" i="22"/>
  <c r="BU40" i="22"/>
  <c r="BB35" i="22"/>
  <c r="V35" i="22" s="1"/>
  <c r="K25" i="22"/>
  <c r="BB36" i="22"/>
  <c r="V36" i="22" s="1"/>
  <c r="BK11" i="22"/>
  <c r="CE30" i="22"/>
  <c r="BD30" i="22"/>
  <c r="K30" i="22"/>
  <c r="CE15" i="22"/>
  <c r="K15" i="22"/>
  <c r="BC38" i="22"/>
  <c r="BB38" i="22" s="1"/>
  <c r="V38" i="22" s="1"/>
  <c r="BB33" i="22"/>
  <c r="V33" i="22" s="1"/>
  <c r="T36" i="20"/>
  <c r="T43" i="20" s="1"/>
  <c r="T35" i="20"/>
  <c r="T34" i="20"/>
  <c r="BB40" i="22" l="1"/>
  <c r="V40" i="22" s="1"/>
  <c r="BD39" i="22"/>
  <c r="K26" i="22"/>
  <c r="CE26" i="22"/>
  <c r="BB26" i="22"/>
  <c r="V26" i="22" s="1"/>
  <c r="BB25" i="22"/>
  <c r="V25" i="22" s="1"/>
  <c r="BB27" i="22"/>
  <c r="V27" i="22" s="1"/>
  <c r="K24" i="22"/>
  <c r="CE24" i="22"/>
  <c r="BD27" i="22"/>
  <c r="BE27" i="22" s="1"/>
  <c r="CE27" i="22"/>
  <c r="K27" i="22"/>
  <c r="BB24" i="22"/>
  <c r="V24" i="22" s="1"/>
  <c r="BD25" i="22"/>
  <c r="BE25" i="22" s="1"/>
  <c r="CE19" i="22"/>
  <c r="K19" i="22"/>
  <c r="BB16" i="22"/>
  <c r="V16" i="22" s="1"/>
  <c r="BB18" i="22"/>
  <c r="V18" i="22" s="1"/>
  <c r="BB19" i="22"/>
  <c r="V19" i="22" s="1"/>
  <c r="BD13" i="22"/>
  <c r="BF25" i="22"/>
  <c r="BE32" i="22"/>
  <c r="BF32" i="22"/>
  <c r="BB34" i="22"/>
  <c r="CE34" i="22"/>
  <c r="CE16" i="22"/>
  <c r="BE21" i="22"/>
  <c r="BF21" i="22"/>
  <c r="X13" i="22"/>
  <c r="B13" i="22"/>
  <c r="U13" i="22" s="1"/>
  <c r="BI13" i="22" s="1"/>
  <c r="A14" i="22"/>
  <c r="BD35" i="22"/>
  <c r="CE35" i="22"/>
  <c r="K23" i="22"/>
  <c r="CE23" i="22"/>
  <c r="BE31" i="22"/>
  <c r="BF31" i="22"/>
  <c r="BD17" i="22"/>
  <c r="BF22" i="22"/>
  <c r="BE22" i="22"/>
  <c r="BD14" i="22"/>
  <c r="BJ12" i="22"/>
  <c r="BD29" i="22"/>
  <c r="CE12" i="22"/>
  <c r="BD33" i="22"/>
  <c r="BE13" i="22"/>
  <c r="L13" i="22" s="1"/>
  <c r="BF13" i="22"/>
  <c r="BD12" i="22"/>
  <c r="CE38" i="22"/>
  <c r="BD38" i="22"/>
  <c r="CE11" i="22"/>
  <c r="CE20" i="22"/>
  <c r="K20" i="22"/>
  <c r="BB20" i="22"/>
  <c r="V20" i="22" s="1"/>
  <c r="BD10" i="22"/>
  <c r="BE28" i="22"/>
  <c r="BF28" i="22"/>
  <c r="BD37" i="22"/>
  <c r="BF27" i="22"/>
  <c r="BD15" i="22"/>
  <c r="BF39" i="22"/>
  <c r="BE39" i="22"/>
  <c r="BE30" i="22"/>
  <c r="BF30" i="22"/>
  <c r="BD11" i="22"/>
  <c r="BD36" i="22"/>
  <c r="BD19" i="22"/>
  <c r="CE40" i="22"/>
  <c r="BB23" i="22"/>
  <c r="V23" i="22" s="1"/>
  <c r="AE37" i="20"/>
  <c r="AC37" i="20"/>
  <c r="AB37" i="20"/>
  <c r="Z37" i="20"/>
  <c r="AD37" i="20" s="1"/>
  <c r="BD40" i="22" l="1"/>
  <c r="BF40" i="22" s="1"/>
  <c r="BD26" i="22"/>
  <c r="BD24" i="22"/>
  <c r="BD16" i="22"/>
  <c r="BD18" i="22"/>
  <c r="BE18" i="22" s="1"/>
  <c r="BD20" i="22"/>
  <c r="BM13" i="22"/>
  <c r="BN13" i="22" s="1"/>
  <c r="BE36" i="22"/>
  <c r="BF36" i="22"/>
  <c r="BF37" i="22"/>
  <c r="BE37" i="22"/>
  <c r="BF12" i="22"/>
  <c r="BO12" i="22" s="1"/>
  <c r="BE12" i="22"/>
  <c r="L12" i="22" s="1"/>
  <c r="BM12" i="22"/>
  <c r="BN12" i="22" s="1"/>
  <c r="BE29" i="22"/>
  <c r="BF29" i="22"/>
  <c r="BL13" i="22"/>
  <c r="J12" i="22"/>
  <c r="BL12" i="22"/>
  <c r="BF11" i="22"/>
  <c r="BO11" i="22" s="1"/>
  <c r="BM11" i="22"/>
  <c r="BN11" i="22" s="1"/>
  <c r="BE11" i="22"/>
  <c r="L11" i="22" s="1"/>
  <c r="BF14" i="22"/>
  <c r="BE14" i="22"/>
  <c r="BE17" i="22"/>
  <c r="BF17" i="22"/>
  <c r="BD23" i="22"/>
  <c r="BF35" i="22"/>
  <c r="BE35" i="22"/>
  <c r="BF18" i="22"/>
  <c r="BJ13" i="22"/>
  <c r="J13" i="22" s="1"/>
  <c r="BF15" i="22"/>
  <c r="BE15" i="22"/>
  <c r="BG20" i="22"/>
  <c r="BG15" i="22"/>
  <c r="BG11" i="22"/>
  <c r="BF10" i="22"/>
  <c r="BO10" i="22" s="1"/>
  <c r="BG19" i="22"/>
  <c r="BG22" i="22"/>
  <c r="BG12" i="22"/>
  <c r="BM10" i="22"/>
  <c r="BE10" i="22"/>
  <c r="BG13" i="22"/>
  <c r="BG10" i="22"/>
  <c r="BG14" i="22"/>
  <c r="BF20" i="22"/>
  <c r="BE20" i="22"/>
  <c r="BF16" i="22"/>
  <c r="BE16" i="22"/>
  <c r="BF19" i="22"/>
  <c r="BE19" i="22"/>
  <c r="BF38" i="22"/>
  <c r="BE38" i="22"/>
  <c r="BE33" i="22"/>
  <c r="BF33" i="22"/>
  <c r="BK13" i="22"/>
  <c r="A15" i="22"/>
  <c r="X14" i="22"/>
  <c r="B14" i="22"/>
  <c r="U14" i="22" s="1"/>
  <c r="BI14" i="22" s="1"/>
  <c r="BJ14" i="22" s="1"/>
  <c r="L14" i="22"/>
  <c r="V34" i="22"/>
  <c r="BD34" i="22"/>
  <c r="AA37" i="20"/>
  <c r="AD34" i="20"/>
  <c r="AD35" i="20"/>
  <c r="AC34" i="20"/>
  <c r="AC35" i="20"/>
  <c r="AC36" i="20"/>
  <c r="AC33" i="20"/>
  <c r="BE40" i="22" l="1"/>
  <c r="BE26" i="22"/>
  <c r="BF26" i="22"/>
  <c r="BG32" i="22"/>
  <c r="BG39" i="22"/>
  <c r="BG35" i="22"/>
  <c r="BE24" i="22"/>
  <c r="BF24" i="22"/>
  <c r="BG21" i="22"/>
  <c r="BG29" i="22"/>
  <c r="BG24" i="22"/>
  <c r="BG23" i="22"/>
  <c r="BG25" i="22"/>
  <c r="BG26" i="22"/>
  <c r="BG16" i="22"/>
  <c r="BG33" i="22"/>
  <c r="BG28" i="22"/>
  <c r="BG27" i="22"/>
  <c r="BG37" i="22"/>
  <c r="BG31" i="22"/>
  <c r="BG18" i="22"/>
  <c r="BG17" i="22"/>
  <c r="BG30" i="22"/>
  <c r="BO13" i="22"/>
  <c r="BP12" i="22"/>
  <c r="BN10" i="22"/>
  <c r="BP10" i="22"/>
  <c r="BP13" i="22"/>
  <c r="BP11" i="22"/>
  <c r="BO14" i="22"/>
  <c r="L15" i="22"/>
  <c r="A16" i="22"/>
  <c r="B15" i="22"/>
  <c r="U15" i="22" s="1"/>
  <c r="BI15" i="22" s="1"/>
  <c r="BK15" i="22" s="1"/>
  <c r="X15" i="22"/>
  <c r="BG36" i="22"/>
  <c r="J14" i="22"/>
  <c r="BK14" i="22"/>
  <c r="BF23" i="22"/>
  <c r="BE23" i="22"/>
  <c r="BL14" i="22"/>
  <c r="BF34" i="22"/>
  <c r="BE34" i="22"/>
  <c r="BS11" i="22"/>
  <c r="O11" i="22" s="1"/>
  <c r="BS12" i="22"/>
  <c r="O12" i="22" s="1"/>
  <c r="BS13" i="22"/>
  <c r="O13" i="22" s="1"/>
  <c r="BS10" i="22"/>
  <c r="O10" i="22" s="1"/>
  <c r="BG40" i="22"/>
  <c r="BH24" i="22"/>
  <c r="BH20" i="22"/>
  <c r="BH21" i="22"/>
  <c r="BH22" i="22"/>
  <c r="BH18" i="22"/>
  <c r="BH16" i="22"/>
  <c r="BH12" i="22"/>
  <c r="M12" i="22" s="1"/>
  <c r="BH14" i="22"/>
  <c r="M14" i="22" s="1"/>
  <c r="BH10" i="22"/>
  <c r="M10" i="22" s="1"/>
  <c r="BH19" i="22"/>
  <c r="BH17" i="22"/>
  <c r="BH13" i="22"/>
  <c r="M13" i="22" s="1"/>
  <c r="BH11" i="22"/>
  <c r="M11" i="22" s="1"/>
  <c r="BH15" i="22"/>
  <c r="M15" i="22" s="1"/>
  <c r="L10" i="22"/>
  <c r="BG34" i="22"/>
  <c r="BG38" i="22"/>
  <c r="BM14" i="22"/>
  <c r="BN14" i="22" s="1"/>
  <c r="Z36" i="20"/>
  <c r="AD36" i="20" s="1"/>
  <c r="BH35" i="22" l="1"/>
  <c r="BH34" i="22"/>
  <c r="BH30" i="22"/>
  <c r="BH39" i="22"/>
  <c r="BH26" i="22"/>
  <c r="BH40" i="22"/>
  <c r="BG41" i="22" s="1"/>
  <c r="BP14" i="22"/>
  <c r="BH23" i="22"/>
  <c r="BH36" i="22"/>
  <c r="BH31" i="22"/>
  <c r="BH38" i="22"/>
  <c r="X16" i="22"/>
  <c r="M16" i="22"/>
  <c r="B16" i="22"/>
  <c r="U16" i="22" s="1"/>
  <c r="BI16" i="22" s="1"/>
  <c r="L16" i="22"/>
  <c r="A17" i="22"/>
  <c r="BR11" i="22"/>
  <c r="BQ11" i="22"/>
  <c r="BH25" i="22"/>
  <c r="BH28" i="22"/>
  <c r="BH32" i="22"/>
  <c r="BH37" i="22"/>
  <c r="BS14" i="22"/>
  <c r="O14" i="22" s="1"/>
  <c r="BR12" i="22"/>
  <c r="BQ12" i="22"/>
  <c r="BH27" i="22"/>
  <c r="BH29" i="22"/>
  <c r="BH33" i="22"/>
  <c r="BJ15" i="22"/>
  <c r="BM15" i="22"/>
  <c r="BN15" i="22" s="1"/>
  <c r="BQ13" i="22"/>
  <c r="BR13" i="22"/>
  <c r="BR10" i="22"/>
  <c r="BQ10" i="22"/>
  <c r="R2" i="15"/>
  <c r="R156" i="15" s="1"/>
  <c r="R157" i="15" s="1"/>
  <c r="B156" i="15" s="1"/>
  <c r="BJ16" i="22" l="1"/>
  <c r="BM16" i="22"/>
  <c r="BK16" i="22"/>
  <c r="BR14" i="22"/>
  <c r="BQ14" i="22"/>
  <c r="J15" i="22"/>
  <c r="BL16" i="22"/>
  <c r="BO15" i="22"/>
  <c r="BL15" i="22"/>
  <c r="X17" i="22"/>
  <c r="M17" i="22"/>
  <c r="B17" i="22"/>
  <c r="U17" i="22" s="1"/>
  <c r="BI17" i="22" s="1"/>
  <c r="L17" i="22"/>
  <c r="A18" i="22"/>
  <c r="BP15" i="22"/>
  <c r="L169" i="15"/>
  <c r="L168" i="15"/>
  <c r="L170" i="15"/>
  <c r="L171" i="15"/>
  <c r="L167" i="15"/>
  <c r="L166" i="15"/>
  <c r="AE2" i="19"/>
  <c r="AF9" i="19" s="1"/>
  <c r="AF10" i="19" s="1"/>
  <c r="AF2" i="20"/>
  <c r="AG13" i="20" s="1"/>
  <c r="BR15" i="22" l="1"/>
  <c r="BQ15" i="22"/>
  <c r="BJ17" i="22"/>
  <c r="BM17" i="22"/>
  <c r="BS15" i="22"/>
  <c r="O15" i="22" s="1"/>
  <c r="M18" i="22"/>
  <c r="X18" i="22"/>
  <c r="B18" i="22"/>
  <c r="U18" i="22" s="1"/>
  <c r="BI18" i="22" s="1"/>
  <c r="L18" i="22"/>
  <c r="A19" i="22"/>
  <c r="BK17" i="22"/>
  <c r="BN16" i="22"/>
  <c r="BP16" i="22"/>
  <c r="BO16" i="22"/>
  <c r="J16" i="22"/>
  <c r="AG36" i="20"/>
  <c r="AG34" i="20"/>
  <c r="AG33" i="20"/>
  <c r="AF42" i="19"/>
  <c r="AF38" i="19"/>
  <c r="AF34" i="19"/>
  <c r="AF30" i="19"/>
  <c r="AF26" i="19"/>
  <c r="AF22" i="19"/>
  <c r="AF18" i="19"/>
  <c r="AF14" i="19"/>
  <c r="AF41" i="19"/>
  <c r="AF37" i="19"/>
  <c r="AF33" i="19"/>
  <c r="AF29" i="19"/>
  <c r="AF25" i="19"/>
  <c r="AF21" i="19"/>
  <c r="AF17" i="19"/>
  <c r="AF13" i="19"/>
  <c r="AF40" i="19"/>
  <c r="AF36" i="19"/>
  <c r="AF32" i="19"/>
  <c r="AF28" i="19"/>
  <c r="AF24" i="19"/>
  <c r="AF20" i="19"/>
  <c r="AF16" i="19"/>
  <c r="AF12" i="19"/>
  <c r="AF39" i="19"/>
  <c r="AF35" i="19"/>
  <c r="AF31" i="19"/>
  <c r="AF27" i="19"/>
  <c r="AF23" i="19"/>
  <c r="AF19" i="19"/>
  <c r="AF15" i="19"/>
  <c r="AF11" i="19"/>
  <c r="AG19" i="20"/>
  <c r="AG23" i="20"/>
  <c r="AG21" i="20"/>
  <c r="AG25" i="20"/>
  <c r="AG18" i="20"/>
  <c r="AG22" i="20"/>
  <c r="AG20" i="20"/>
  <c r="AG24" i="20"/>
  <c r="AG111" i="20"/>
  <c r="AG116" i="20"/>
  <c r="AG121" i="20"/>
  <c r="AG127" i="20"/>
  <c r="AG132" i="20"/>
  <c r="AG137" i="20"/>
  <c r="AG112" i="20"/>
  <c r="AG117" i="20"/>
  <c r="AG123" i="20"/>
  <c r="AG128" i="20"/>
  <c r="AG133" i="20"/>
  <c r="AG139" i="20"/>
  <c r="AG113" i="20"/>
  <c r="AG119" i="20"/>
  <c r="AG124" i="20"/>
  <c r="AG129" i="20"/>
  <c r="AG135" i="20"/>
  <c r="AG140" i="20"/>
  <c r="AG109" i="20"/>
  <c r="AG115" i="20"/>
  <c r="AG120" i="20"/>
  <c r="AG125" i="20"/>
  <c r="AG131" i="20"/>
  <c r="AG136" i="20"/>
  <c r="AG110" i="20"/>
  <c r="AG114" i="20"/>
  <c r="AG118" i="20"/>
  <c r="AG122" i="20"/>
  <c r="AG126" i="20"/>
  <c r="AG130" i="20"/>
  <c r="AG134" i="20"/>
  <c r="AG138" i="20"/>
  <c r="AG61" i="20"/>
  <c r="AG69" i="20"/>
  <c r="AG77" i="20"/>
  <c r="AG81" i="20"/>
  <c r="AG89" i="20"/>
  <c r="AG62" i="20"/>
  <c r="AG66" i="20"/>
  <c r="AG70" i="20"/>
  <c r="AG74" i="20"/>
  <c r="AG78" i="20"/>
  <c r="AG82" i="20"/>
  <c r="AG86" i="20"/>
  <c r="AG90" i="20"/>
  <c r="AG63" i="20"/>
  <c r="AG67" i="20"/>
  <c r="AG71" i="20"/>
  <c r="AG75" i="20"/>
  <c r="AG79" i="20"/>
  <c r="AG83" i="20"/>
  <c r="AG87" i="20"/>
  <c r="AG91" i="20"/>
  <c r="AG65" i="20"/>
  <c r="AG73" i="20"/>
  <c r="AG85" i="20"/>
  <c r="AG64" i="20"/>
  <c r="AG68" i="20"/>
  <c r="AG72" i="20"/>
  <c r="AG76" i="20"/>
  <c r="AG80" i="20"/>
  <c r="AG84" i="20"/>
  <c r="AG88" i="20"/>
  <c r="AG92" i="20"/>
  <c r="AG15" i="20"/>
  <c r="AG26" i="20"/>
  <c r="AG17" i="20"/>
  <c r="AG28" i="20"/>
  <c r="AG16" i="20"/>
  <c r="AG27" i="20"/>
  <c r="BO17" i="22" l="1"/>
  <c r="J17" i="22"/>
  <c r="BL17" i="22"/>
  <c r="BN17" i="22"/>
  <c r="BP17" i="22"/>
  <c r="BJ18" i="22"/>
  <c r="BM18" i="22"/>
  <c r="BP18" i="22" s="1"/>
  <c r="BK18" i="22"/>
  <c r="BR16" i="22"/>
  <c r="BQ16" i="22"/>
  <c r="A20" i="22"/>
  <c r="X19" i="22"/>
  <c r="L19" i="22"/>
  <c r="B19" i="22"/>
  <c r="U19" i="22" s="1"/>
  <c r="BI19" i="22" s="1"/>
  <c r="M19" i="22"/>
  <c r="BS16" i="22"/>
  <c r="O16" i="22" s="1"/>
  <c r="AB34" i="20"/>
  <c r="AE34" i="20"/>
  <c r="AB35" i="20"/>
  <c r="AE35" i="20"/>
  <c r="AB36" i="20"/>
  <c r="AE36" i="20"/>
  <c r="AB33" i="20"/>
  <c r="Z35" i="20"/>
  <c r="L20" i="22" l="1"/>
  <c r="M20" i="22"/>
  <c r="X20" i="22"/>
  <c r="B20" i="22"/>
  <c r="U20" i="22" s="1"/>
  <c r="BI20" i="22" s="1"/>
  <c r="A21" i="22"/>
  <c r="BQ18" i="22"/>
  <c r="BR18" i="22"/>
  <c r="BN18" i="22"/>
  <c r="BS17" i="22"/>
  <c r="O17" i="22" s="1"/>
  <c r="BJ19" i="22"/>
  <c r="BM19" i="22"/>
  <c r="BK19" i="22"/>
  <c r="BQ17" i="22"/>
  <c r="BR17" i="22"/>
  <c r="BO18" i="22"/>
  <c r="BS18" i="22" s="1"/>
  <c r="O18" i="22" s="1"/>
  <c r="J18" i="22"/>
  <c r="BL18" i="22"/>
  <c r="AA36" i="20"/>
  <c r="Z34" i="20"/>
  <c r="Z33" i="20"/>
  <c r="X21" i="22" l="1"/>
  <c r="M21" i="22"/>
  <c r="B21" i="22"/>
  <c r="U21" i="22" s="1"/>
  <c r="BI21" i="22" s="1"/>
  <c r="A22" i="22"/>
  <c r="L21" i="22"/>
  <c r="BJ20" i="22"/>
  <c r="BM20" i="22"/>
  <c r="BP20" i="22" s="1"/>
  <c r="BK20" i="22"/>
  <c r="BN19" i="22"/>
  <c r="BP19" i="22"/>
  <c r="BO19" i="22"/>
  <c r="BS19" i="22" s="1"/>
  <c r="O19" i="22" s="1"/>
  <c r="BL19" i="22"/>
  <c r="J19" i="22"/>
  <c r="AE33" i="20"/>
  <c r="AD33" i="20"/>
  <c r="BR20" i="22" l="1"/>
  <c r="BQ20" i="22"/>
  <c r="BJ21" i="22"/>
  <c r="BM21" i="22"/>
  <c r="BK21" i="22"/>
  <c r="A23" i="22"/>
  <c r="L22" i="22"/>
  <c r="X22" i="22"/>
  <c r="B22" i="22"/>
  <c r="U22" i="22" s="1"/>
  <c r="BI22" i="22" s="1"/>
  <c r="M22" i="22"/>
  <c r="BN20" i="22"/>
  <c r="BS20" i="22"/>
  <c r="O20" i="22" s="1"/>
  <c r="BR19" i="22"/>
  <c r="BQ19" i="22"/>
  <c r="BO20" i="22"/>
  <c r="BL20" i="22"/>
  <c r="J20" i="22"/>
  <c r="AA34" i="20"/>
  <c r="M47" i="19"/>
  <c r="M46" i="19"/>
  <c r="M45" i="19"/>
  <c r="M44" i="19"/>
  <c r="BN21" i="22" l="1"/>
  <c r="BP21" i="22"/>
  <c r="BJ22" i="22"/>
  <c r="BM22" i="22"/>
  <c r="BK22" i="22"/>
  <c r="BO21" i="22"/>
  <c r="BL21" i="22"/>
  <c r="J21" i="22"/>
  <c r="L23" i="22"/>
  <c r="A24" i="22"/>
  <c r="M23" i="22"/>
  <c r="B23" i="22"/>
  <c r="U23" i="22" s="1"/>
  <c r="BI23" i="22" s="1"/>
  <c r="X23" i="22"/>
  <c r="AA35" i="20"/>
  <c r="S94" i="20"/>
  <c r="T142" i="20" s="1"/>
  <c r="BN22" i="22" l="1"/>
  <c r="BP22" i="22"/>
  <c r="BO22" i="22"/>
  <c r="BS22" i="22" s="1"/>
  <c r="O22" i="22" s="1"/>
  <c r="BL22" i="22"/>
  <c r="J22" i="22"/>
  <c r="BJ23" i="22"/>
  <c r="BM23" i="22"/>
  <c r="BK23" i="22"/>
  <c r="X24" i="22"/>
  <c r="M24" i="22"/>
  <c r="B24" i="22"/>
  <c r="U24" i="22" s="1"/>
  <c r="BI24" i="22" s="1"/>
  <c r="L24" i="22"/>
  <c r="A25" i="22"/>
  <c r="BS21" i="22"/>
  <c r="O21" i="22" s="1"/>
  <c r="BQ21" i="22"/>
  <c r="BR21" i="22"/>
  <c r="S142" i="20"/>
  <c r="B48" i="20"/>
  <c r="BO23" i="22" l="1"/>
  <c r="BS23" i="22" s="1"/>
  <c r="O23" i="22" s="1"/>
  <c r="BL23" i="22"/>
  <c r="J23" i="22"/>
  <c r="BR22" i="22"/>
  <c r="BQ22" i="22"/>
  <c r="BJ24" i="22"/>
  <c r="BM24" i="22"/>
  <c r="BK24" i="22"/>
  <c r="BN23" i="22"/>
  <c r="BP23" i="22"/>
  <c r="X25" i="22"/>
  <c r="M25" i="22"/>
  <c r="B25" i="22"/>
  <c r="U25" i="22" s="1"/>
  <c r="BI25" i="22" s="1"/>
  <c r="L25" i="22"/>
  <c r="A26" i="22"/>
  <c r="P7" i="21"/>
  <c r="P6" i="21"/>
  <c r="P5" i="21"/>
  <c r="P4" i="21"/>
  <c r="P3" i="21"/>
  <c r="I41" i="21"/>
  <c r="H41" i="21"/>
  <c r="E41" i="21"/>
  <c r="CB40" i="21"/>
  <c r="CA40" i="21"/>
  <c r="BZ40" i="21"/>
  <c r="BA40" i="21"/>
  <c r="AZ40" i="21"/>
  <c r="AY40" i="21"/>
  <c r="AA40" i="21"/>
  <c r="AC40" i="21" s="1"/>
  <c r="Y40" i="21"/>
  <c r="CB39" i="21"/>
  <c r="CA39" i="21"/>
  <c r="BZ39" i="21"/>
  <c r="BA39" i="21"/>
  <c r="AZ39" i="21"/>
  <c r="AY39" i="21"/>
  <c r="AS39" i="21"/>
  <c r="AA39" i="21"/>
  <c r="AC39" i="21" s="1"/>
  <c r="Y39" i="21"/>
  <c r="AT39" i="21" s="1"/>
  <c r="CB38" i="21"/>
  <c r="CA38" i="21"/>
  <c r="BZ38" i="21"/>
  <c r="BA38" i="21"/>
  <c r="AZ38" i="21"/>
  <c r="AY38" i="21"/>
  <c r="AH38" i="21"/>
  <c r="AA38" i="21"/>
  <c r="AC38" i="21" s="1"/>
  <c r="Y38" i="21"/>
  <c r="AS38" i="21" s="1"/>
  <c r="CB37" i="21"/>
  <c r="CA37" i="21"/>
  <c r="BZ37" i="21"/>
  <c r="BA37" i="21"/>
  <c r="AZ37" i="21"/>
  <c r="AY37" i="21"/>
  <c r="AA37" i="21"/>
  <c r="AC37" i="21" s="1"/>
  <c r="Y37" i="21"/>
  <c r="AS37" i="21" s="1"/>
  <c r="CB36" i="21"/>
  <c r="CA36" i="21"/>
  <c r="BZ36" i="21"/>
  <c r="BA36" i="21"/>
  <c r="AZ36" i="21"/>
  <c r="AY36" i="21"/>
  <c r="AA36" i="21"/>
  <c r="AC36" i="21" s="1"/>
  <c r="Y36" i="21"/>
  <c r="CB35" i="21"/>
  <c r="CA35" i="21"/>
  <c r="BZ35" i="21"/>
  <c r="BA35" i="21"/>
  <c r="AZ35" i="21"/>
  <c r="AY35" i="21"/>
  <c r="AA35" i="21"/>
  <c r="Y35" i="21"/>
  <c r="CB34" i="21"/>
  <c r="CA34" i="21"/>
  <c r="BZ34" i="21"/>
  <c r="BA34" i="21"/>
  <c r="AZ34" i="21"/>
  <c r="AY34" i="21"/>
  <c r="AA34" i="21"/>
  <c r="Y34" i="21"/>
  <c r="CB33" i="21"/>
  <c r="CA33" i="21"/>
  <c r="BZ33" i="21"/>
  <c r="BA33" i="21"/>
  <c r="AZ33" i="21"/>
  <c r="AY33" i="21"/>
  <c r="AA33" i="21"/>
  <c r="Y33" i="21"/>
  <c r="CB32" i="21"/>
  <c r="CA32" i="21"/>
  <c r="BZ32" i="21"/>
  <c r="BA32" i="21"/>
  <c r="AZ32" i="21"/>
  <c r="AY32" i="21"/>
  <c r="AA32" i="21"/>
  <c r="AC32" i="21" s="1"/>
  <c r="Y32" i="21"/>
  <c r="AV32" i="21" s="1"/>
  <c r="CB31" i="21"/>
  <c r="CA31" i="21"/>
  <c r="BZ31" i="21"/>
  <c r="BA31" i="21"/>
  <c r="AZ31" i="21"/>
  <c r="AY31" i="21"/>
  <c r="AA31" i="21"/>
  <c r="AC31" i="21" s="1"/>
  <c r="Y31" i="21"/>
  <c r="CB30" i="21"/>
  <c r="CA30" i="21"/>
  <c r="BZ30" i="21"/>
  <c r="BA30" i="21"/>
  <c r="AZ30" i="21"/>
  <c r="AY30" i="21"/>
  <c r="AV30" i="21"/>
  <c r="AS30" i="21"/>
  <c r="AA30" i="21"/>
  <c r="AC30" i="21" s="1"/>
  <c r="Y30" i="21"/>
  <c r="AN30" i="21" s="1"/>
  <c r="CB29" i="21"/>
  <c r="CA29" i="21"/>
  <c r="BZ29" i="21"/>
  <c r="BA29" i="21"/>
  <c r="AZ29" i="21"/>
  <c r="AY29" i="21"/>
  <c r="AA29" i="21"/>
  <c r="AC29" i="21" s="1"/>
  <c r="Y29" i="21"/>
  <c r="AK29" i="21" s="1"/>
  <c r="CB28" i="21"/>
  <c r="CA28" i="21"/>
  <c r="BZ28" i="21"/>
  <c r="BA28" i="21"/>
  <c r="AZ28" i="21"/>
  <c r="AY28" i="21"/>
  <c r="AA28" i="21"/>
  <c r="AC28" i="21" s="1"/>
  <c r="Y28" i="21"/>
  <c r="CB27" i="21"/>
  <c r="CA27" i="21"/>
  <c r="BZ27" i="21"/>
  <c r="BA27" i="21"/>
  <c r="AZ27" i="21"/>
  <c r="AY27" i="21"/>
  <c r="AA27" i="21"/>
  <c r="Y27" i="21"/>
  <c r="AT27" i="21" s="1"/>
  <c r="CB26" i="21"/>
  <c r="CA26" i="21"/>
  <c r="BZ26" i="21"/>
  <c r="BA26" i="21"/>
  <c r="AZ26" i="21"/>
  <c r="AY26" i="21"/>
  <c r="AA26" i="21"/>
  <c r="Y26" i="21"/>
  <c r="AW26" i="21" s="1"/>
  <c r="CB25" i="21"/>
  <c r="CA25" i="21"/>
  <c r="BZ25" i="21"/>
  <c r="BA25" i="21"/>
  <c r="AZ25" i="21"/>
  <c r="AY25" i="21"/>
  <c r="AC25" i="21"/>
  <c r="AA25" i="21"/>
  <c r="Y25" i="21"/>
  <c r="AG25" i="21" s="1"/>
  <c r="CB24" i="21"/>
  <c r="CA24" i="21"/>
  <c r="BZ24" i="21"/>
  <c r="BA24" i="21"/>
  <c r="AZ24" i="21"/>
  <c r="AY24" i="21"/>
  <c r="AA24" i="21"/>
  <c r="Y24" i="21"/>
  <c r="AS24" i="21" s="1"/>
  <c r="CB23" i="21"/>
  <c r="CA23" i="21"/>
  <c r="BZ23" i="21"/>
  <c r="BA23" i="21"/>
  <c r="AZ23" i="21"/>
  <c r="AY23" i="21"/>
  <c r="AA23" i="21"/>
  <c r="AC23" i="21" s="1"/>
  <c r="Y23" i="21"/>
  <c r="AW23" i="21" s="1"/>
  <c r="CB22" i="21"/>
  <c r="CA22" i="21"/>
  <c r="BZ22" i="21"/>
  <c r="BA22" i="21"/>
  <c r="AZ22" i="21"/>
  <c r="AY22" i="21"/>
  <c r="AA22" i="21"/>
  <c r="Y22" i="21"/>
  <c r="AS22" i="21" s="1"/>
  <c r="CB21" i="21"/>
  <c r="CA21" i="21"/>
  <c r="BZ21" i="21"/>
  <c r="BA21" i="21"/>
  <c r="AZ21" i="21"/>
  <c r="AY21" i="21"/>
  <c r="AH21" i="21"/>
  <c r="AA21" i="21"/>
  <c r="Y21" i="21"/>
  <c r="AW21" i="21" s="1"/>
  <c r="CB20" i="21"/>
  <c r="CA20" i="21"/>
  <c r="BZ20" i="21"/>
  <c r="BA20" i="21"/>
  <c r="AZ20" i="21"/>
  <c r="AY20" i="21"/>
  <c r="AA20" i="21"/>
  <c r="AC20" i="21" s="1"/>
  <c r="Y20" i="21"/>
  <c r="AQ20" i="21" s="1"/>
  <c r="CB19" i="21"/>
  <c r="CA19" i="21"/>
  <c r="BZ19" i="21"/>
  <c r="BA19" i="21"/>
  <c r="AZ19" i="21"/>
  <c r="AY19" i="21"/>
  <c r="AH19" i="21"/>
  <c r="AA19" i="21"/>
  <c r="AC19" i="21" s="1"/>
  <c r="Y19" i="21"/>
  <c r="AN19" i="21" s="1"/>
  <c r="CB18" i="21"/>
  <c r="CA18" i="21"/>
  <c r="BZ18" i="21"/>
  <c r="BA18" i="21"/>
  <c r="AZ18" i="21"/>
  <c r="AY18" i="21"/>
  <c r="AA18" i="21"/>
  <c r="AC18" i="21" s="1"/>
  <c r="Y18" i="21"/>
  <c r="AV18" i="21" s="1"/>
  <c r="CB17" i="21"/>
  <c r="CA17" i="21"/>
  <c r="BZ17" i="21"/>
  <c r="BA17" i="21"/>
  <c r="AZ17" i="21"/>
  <c r="AY17" i="21"/>
  <c r="AD17" i="21"/>
  <c r="AA17" i="21"/>
  <c r="Y17" i="21"/>
  <c r="AW17" i="21" s="1"/>
  <c r="CB16" i="21"/>
  <c r="CA16" i="21"/>
  <c r="BZ16" i="21"/>
  <c r="BA16" i="21"/>
  <c r="AZ16" i="21"/>
  <c r="AY16" i="21"/>
  <c r="AA16" i="21"/>
  <c r="AC16" i="21" s="1"/>
  <c r="Y16" i="21"/>
  <c r="CB15" i="21"/>
  <c r="CA15" i="21"/>
  <c r="BZ15" i="21"/>
  <c r="BA15" i="21"/>
  <c r="AZ15" i="21"/>
  <c r="AY15" i="21"/>
  <c r="AA15" i="21"/>
  <c r="AC15" i="21" s="1"/>
  <c r="Y15" i="21"/>
  <c r="CB14" i="21"/>
  <c r="CA14" i="21"/>
  <c r="BZ14" i="21"/>
  <c r="BA14" i="21"/>
  <c r="AZ14" i="21"/>
  <c r="AY14" i="21"/>
  <c r="AA14" i="21"/>
  <c r="AC14" i="21" s="1"/>
  <c r="Y14" i="21"/>
  <c r="AN14" i="21" s="1"/>
  <c r="CB13" i="21"/>
  <c r="CA13" i="21"/>
  <c r="BZ13" i="21"/>
  <c r="BA13" i="21"/>
  <c r="AZ13" i="21"/>
  <c r="AY13" i="21"/>
  <c r="AA13" i="21"/>
  <c r="Y13" i="21"/>
  <c r="AW13" i="21" s="1"/>
  <c r="CB12" i="21"/>
  <c r="CA12" i="21"/>
  <c r="BZ12" i="21"/>
  <c r="BA12" i="21"/>
  <c r="AZ12" i="21"/>
  <c r="AY12" i="21"/>
  <c r="AA12" i="21"/>
  <c r="AC12" i="21" s="1"/>
  <c r="Y12" i="21"/>
  <c r="CB11" i="21"/>
  <c r="CA11" i="21"/>
  <c r="BZ11" i="21"/>
  <c r="BA11" i="21"/>
  <c r="AZ11" i="21"/>
  <c r="AY11" i="21"/>
  <c r="AA11" i="21"/>
  <c r="AC11" i="21" s="1"/>
  <c r="Y11" i="21"/>
  <c r="AP11" i="21" s="1"/>
  <c r="CB10" i="21"/>
  <c r="CA10" i="21"/>
  <c r="BZ10" i="21"/>
  <c r="BA10" i="21"/>
  <c r="AZ10" i="21"/>
  <c r="AY10" i="21"/>
  <c r="AA10" i="21"/>
  <c r="AC10" i="21" s="1"/>
  <c r="Y10" i="21"/>
  <c r="AT10" i="21" s="1"/>
  <c r="A10" i="21"/>
  <c r="X10" i="21" s="1"/>
  <c r="A7" i="21"/>
  <c r="BD3" i="21"/>
  <c r="BC3" i="21"/>
  <c r="BB3" i="21"/>
  <c r="BA3" i="21"/>
  <c r="AP3" i="21"/>
  <c r="AO3" i="21"/>
  <c r="AM3" i="21"/>
  <c r="AL3" i="21"/>
  <c r="AJ3" i="21"/>
  <c r="AI3" i="21"/>
  <c r="AH3" i="21"/>
  <c r="AF3" i="21"/>
  <c r="AE3" i="21"/>
  <c r="AD3" i="21"/>
  <c r="AD4" i="21" s="1"/>
  <c r="AC3" i="21"/>
  <c r="AU3" i="21" s="1"/>
  <c r="AB3" i="21"/>
  <c r="AA3" i="21"/>
  <c r="Z3" i="21"/>
  <c r="Y3" i="21"/>
  <c r="X3" i="21"/>
  <c r="X4" i="21" s="1"/>
  <c r="A27" i="22" l="1"/>
  <c r="M26" i="22"/>
  <c r="X26" i="22"/>
  <c r="L26" i="22"/>
  <c r="B26" i="22"/>
  <c r="U26" i="22" s="1"/>
  <c r="BI26" i="22" s="1"/>
  <c r="BJ25" i="22"/>
  <c r="BM25" i="22"/>
  <c r="BK25" i="22"/>
  <c r="BN24" i="22"/>
  <c r="BP24" i="22"/>
  <c r="BR23" i="22"/>
  <c r="BQ23" i="22"/>
  <c r="BO24" i="22"/>
  <c r="BS24" i="22" s="1"/>
  <c r="O24" i="22" s="1"/>
  <c r="BL24" i="22"/>
  <c r="J24" i="22"/>
  <c r="AW18" i="21"/>
  <c r="AX18" i="21" s="1"/>
  <c r="AJ17" i="21"/>
  <c r="AQ21" i="21"/>
  <c r="Z26" i="21"/>
  <c r="BW26" i="21" s="1"/>
  <c r="AJ27" i="21"/>
  <c r="AG10" i="21"/>
  <c r="AG20" i="21"/>
  <c r="AV21" i="21"/>
  <c r="AX21" i="21" s="1"/>
  <c r="AP26" i="21"/>
  <c r="AJ13" i="21"/>
  <c r="AG18" i="21"/>
  <c r="AD21" i="21"/>
  <c r="AD23" i="21"/>
  <c r="AM26" i="21"/>
  <c r="AG29" i="21"/>
  <c r="AD37" i="21"/>
  <c r="AQ22" i="21"/>
  <c r="AV22" i="21"/>
  <c r="AV23" i="21"/>
  <c r="AX23" i="21" s="1"/>
  <c r="AN27" i="21"/>
  <c r="AQ13" i="21"/>
  <c r="AM17" i="21"/>
  <c r="AN18" i="21"/>
  <c r="AS19" i="21"/>
  <c r="AP20" i="21"/>
  <c r="AJ21" i="21"/>
  <c r="AG22" i="21"/>
  <c r="AW22" i="21"/>
  <c r="AD26" i="21"/>
  <c r="AT26" i="21"/>
  <c r="AQ27" i="21"/>
  <c r="AS29" i="21"/>
  <c r="AT37" i="21"/>
  <c r="Z38" i="21"/>
  <c r="AW38" i="21"/>
  <c r="Z11" i="21"/>
  <c r="AS11" i="21" s="1"/>
  <c r="AM13" i="21"/>
  <c r="AP38" i="21"/>
  <c r="AD13" i="21"/>
  <c r="AT13" i="21"/>
  <c r="AQ17" i="21"/>
  <c r="AQ18" i="21"/>
  <c r="AW19" i="21"/>
  <c r="Z20" i="21"/>
  <c r="BV20" i="21" s="1"/>
  <c r="AP21" i="21"/>
  <c r="AK22" i="21"/>
  <c r="AH26" i="21"/>
  <c r="AE27" i="21"/>
  <c r="AV27" i="21"/>
  <c r="AW29" i="21"/>
  <c r="AN32" i="21"/>
  <c r="AD39" i="21"/>
  <c r="AP12" i="21"/>
  <c r="AT12" i="21"/>
  <c r="AH12" i="21"/>
  <c r="AW28" i="21"/>
  <c r="AV28" i="21"/>
  <c r="AW31" i="21"/>
  <c r="AG31" i="21"/>
  <c r="AS31" i="21"/>
  <c r="AW33" i="21"/>
  <c r="AM33" i="21"/>
  <c r="AT33" i="21"/>
  <c r="AH33" i="21"/>
  <c r="Z33" i="21"/>
  <c r="AP33" i="21"/>
  <c r="AW34" i="21"/>
  <c r="AM34" i="21"/>
  <c r="AT34" i="21"/>
  <c r="AH34" i="21"/>
  <c r="Z34" i="21"/>
  <c r="BX34" i="21" s="1"/>
  <c r="AP34" i="21"/>
  <c r="AR34" i="21" s="1"/>
  <c r="AW35" i="21"/>
  <c r="AM35" i="21"/>
  <c r="AT35" i="21"/>
  <c r="AH35" i="21"/>
  <c r="Z35" i="21"/>
  <c r="AP35" i="21"/>
  <c r="AS36" i="21"/>
  <c r="AP36" i="21"/>
  <c r="AH36" i="21"/>
  <c r="Z36" i="21"/>
  <c r="BW36" i="21" s="1"/>
  <c r="AW36" i="21"/>
  <c r="AS40" i="21"/>
  <c r="AP40" i="21"/>
  <c r="AH40" i="21"/>
  <c r="Z40" i="21"/>
  <c r="BV40" i="21" s="1"/>
  <c r="AW40" i="21"/>
  <c r="Z12" i="21"/>
  <c r="BW12" i="21" s="1"/>
  <c r="AM12" i="21"/>
  <c r="AR20" i="21"/>
  <c r="AQ33" i="21"/>
  <c r="AQ34" i="21"/>
  <c r="AQ35" i="21"/>
  <c r="AR35" i="21" s="1"/>
  <c r="AY3" i="21"/>
  <c r="AR3" i="21"/>
  <c r="AV3" i="21"/>
  <c r="B10" i="21"/>
  <c r="U10" i="21" s="1"/>
  <c r="BI10" i="21" s="1"/>
  <c r="A11" i="21"/>
  <c r="A12" i="21" s="1"/>
  <c r="B12" i="21" s="1"/>
  <c r="U12" i="21" s="1"/>
  <c r="BI12" i="21" s="1"/>
  <c r="BJ12" i="21" s="1"/>
  <c r="J12" i="21" s="1"/>
  <c r="AR21" i="21"/>
  <c r="Z24" i="21"/>
  <c r="AW25" i="21"/>
  <c r="AP25" i="21"/>
  <c r="AH25" i="21"/>
  <c r="AI25" i="21" s="1"/>
  <c r="Z25" i="21"/>
  <c r="BV25" i="21" s="1"/>
  <c r="AT25" i="21"/>
  <c r="AK28" i="21"/>
  <c r="AJ31" i="21"/>
  <c r="AD33" i="21"/>
  <c r="AD34" i="21"/>
  <c r="AD35" i="21"/>
  <c r="AX3" i="21"/>
  <c r="AE12" i="21"/>
  <c r="AW20" i="21"/>
  <c r="AM20" i="21"/>
  <c r="AE20" i="21"/>
  <c r="AF20" i="21" s="1"/>
  <c r="AS20" i="21"/>
  <c r="AK20" i="21"/>
  <c r="AH20" i="21"/>
  <c r="AI20" i="21" s="1"/>
  <c r="AB22" i="21"/>
  <c r="AT23" i="21"/>
  <c r="AJ23" i="21"/>
  <c r="AP23" i="21"/>
  <c r="AG23" i="21"/>
  <c r="Z23" i="21"/>
  <c r="BX23" i="21" s="1"/>
  <c r="AK23" i="21"/>
  <c r="AL23" i="21" s="1"/>
  <c r="AN28" i="21"/>
  <c r="AK31" i="21"/>
  <c r="AE33" i="21"/>
  <c r="AE34" i="21"/>
  <c r="AE35" i="21"/>
  <c r="AF35" i="21" s="1"/>
  <c r="AG36" i="21"/>
  <c r="AG40" i="21"/>
  <c r="AX13" i="21"/>
  <c r="AE13" i="21"/>
  <c r="AF13" i="21" s="1"/>
  <c r="AN13" i="21"/>
  <c r="AO13" i="21" s="1"/>
  <c r="AV13" i="21"/>
  <c r="AE17" i="21"/>
  <c r="AF17" i="21" s="1"/>
  <c r="AN17" i="21"/>
  <c r="AO17" i="21" s="1"/>
  <c r="AT17" i="21"/>
  <c r="AK18" i="21"/>
  <c r="AS18" i="21"/>
  <c r="AE21" i="21"/>
  <c r="AF21" i="21" s="1"/>
  <c r="AM21" i="21"/>
  <c r="AJ29" i="21"/>
  <c r="AL29" i="21" s="1"/>
  <c r="AS32" i="21"/>
  <c r="AW10" i="21"/>
  <c r="Z13" i="21"/>
  <c r="BX13" i="21" s="1"/>
  <c r="AH13" i="21"/>
  <c r="AP13" i="21"/>
  <c r="AR13" i="21" s="1"/>
  <c r="Z17" i="21"/>
  <c r="BX17" i="21" s="1"/>
  <c r="AH17" i="21"/>
  <c r="AP17" i="21"/>
  <c r="AR17" i="21" s="1"/>
  <c r="AV17" i="21"/>
  <c r="AX17" i="21" s="1"/>
  <c r="AM18" i="21"/>
  <c r="Z21" i="21"/>
  <c r="BY21" i="21" s="1"/>
  <c r="AN21" i="21"/>
  <c r="AT21" i="21"/>
  <c r="AM22" i="21"/>
  <c r="AE26" i="21"/>
  <c r="AF26" i="21" s="1"/>
  <c r="AQ26" i="21"/>
  <c r="AR26" i="21" s="1"/>
  <c r="AM27" i="21"/>
  <c r="AG38" i="21"/>
  <c r="AI38" i="21" s="1"/>
  <c r="AM11" i="21"/>
  <c r="AW11" i="21"/>
  <c r="AG11" i="21"/>
  <c r="AB32" i="21"/>
  <c r="AB30" i="21"/>
  <c r="AB28" i="21"/>
  <c r="AB31" i="21"/>
  <c r="AB29" i="21"/>
  <c r="AB15" i="21"/>
  <c r="AT15" i="21" s="1"/>
  <c r="AB14" i="21"/>
  <c r="AB13" i="21"/>
  <c r="CC13" i="21" s="1"/>
  <c r="AB18" i="21"/>
  <c r="AB19" i="21"/>
  <c r="AB27" i="21"/>
  <c r="AB10" i="21"/>
  <c r="AB17" i="21"/>
  <c r="AB23" i="21"/>
  <c r="X12" i="21"/>
  <c r="BW38" i="21"/>
  <c r="BW33" i="21"/>
  <c r="BW25" i="21"/>
  <c r="Z16" i="21"/>
  <c r="BY16" i="21" s="1"/>
  <c r="BV21" i="21"/>
  <c r="AC21" i="21"/>
  <c r="BW23" i="21"/>
  <c r="AN10" i="21"/>
  <c r="BV12" i="21"/>
  <c r="AJ14" i="21"/>
  <c r="Z15" i="21"/>
  <c r="BY15" i="21" s="1"/>
  <c r="AS15" i="21"/>
  <c r="AX22" i="21"/>
  <c r="BX12" i="21"/>
  <c r="Z10" i="21"/>
  <c r="BX10" i="21" s="1"/>
  <c r="AD10" i="21"/>
  <c r="AJ10" i="21"/>
  <c r="AV11" i="21"/>
  <c r="AJ11" i="21"/>
  <c r="AD11" i="21"/>
  <c r="AJ15" i="21"/>
  <c r="BX24" i="21"/>
  <c r="BW24" i="21"/>
  <c r="AB24" i="21"/>
  <c r="BV24" i="21"/>
  <c r="AC24" i="21"/>
  <c r="AB11" i="21"/>
  <c r="AN11" i="21" s="1"/>
  <c r="AO11" i="21" s="1"/>
  <c r="AT14" i="21"/>
  <c r="AP14" i="21"/>
  <c r="AH14" i="21"/>
  <c r="AD14" i="21"/>
  <c r="Z14" i="21"/>
  <c r="AW14" i="21"/>
  <c r="AM14" i="21"/>
  <c r="AO14" i="21" s="1"/>
  <c r="AG14" i="21"/>
  <c r="AV14" i="21"/>
  <c r="AQ14" i="21"/>
  <c r="AR14" i="21" s="1"/>
  <c r="AK14" i="21"/>
  <c r="AS14" i="21"/>
  <c r="AQ15" i="21"/>
  <c r="AM15" i="21"/>
  <c r="AW15" i="21"/>
  <c r="AG15" i="21"/>
  <c r="AV15" i="21"/>
  <c r="AP15" i="21"/>
  <c r="AK15" i="21"/>
  <c r="AC22" i="21"/>
  <c r="BW35" i="21"/>
  <c r="BV38" i="21"/>
  <c r="BV36" i="21"/>
  <c r="AQ10" i="21"/>
  <c r="AM10" i="21"/>
  <c r="AE10" i="21"/>
  <c r="AH10" i="21"/>
  <c r="AI10" i="21" s="1"/>
  <c r="AS10" i="21"/>
  <c r="AU10" i="21" s="1"/>
  <c r="AB20" i="21"/>
  <c r="AB21" i="21"/>
  <c r="CC21" i="21" s="1"/>
  <c r="BV26" i="21"/>
  <c r="AC26" i="21"/>
  <c r="BY26" i="21"/>
  <c r="AB26" i="21"/>
  <c r="BX26" i="21"/>
  <c r="AK10" i="21"/>
  <c r="AP10" i="21"/>
  <c r="AV10" i="21"/>
  <c r="AV12" i="21"/>
  <c r="AN12" i="21"/>
  <c r="AJ12" i="21"/>
  <c r="AW12" i="21"/>
  <c r="AQ12" i="21"/>
  <c r="AG12" i="21"/>
  <c r="AD12" i="21"/>
  <c r="AF12" i="21" s="1"/>
  <c r="AK12" i="21"/>
  <c r="AS12" i="21"/>
  <c r="BY13" i="21"/>
  <c r="AE14" i="21"/>
  <c r="AN15" i="21"/>
  <c r="AQ19" i="21"/>
  <c r="AM19" i="21"/>
  <c r="AO19" i="21" s="1"/>
  <c r="AE19" i="21"/>
  <c r="AV19" i="21"/>
  <c r="AX19" i="21" s="1"/>
  <c r="AP19" i="21"/>
  <c r="AK19" i="21"/>
  <c r="AT19" i="21"/>
  <c r="AJ19" i="21"/>
  <c r="AD19" i="21"/>
  <c r="Z19" i="21"/>
  <c r="AG19" i="21"/>
  <c r="AI19" i="21" s="1"/>
  <c r="BX21" i="21"/>
  <c r="BV23" i="21"/>
  <c r="AC27" i="21"/>
  <c r="BY12" i="21"/>
  <c r="AB12" i="21"/>
  <c r="CC12" i="21" s="1"/>
  <c r="AC13" i="21"/>
  <c r="BW13" i="21"/>
  <c r="AT18" i="21"/>
  <c r="AP18" i="21"/>
  <c r="AR18" i="21" s="1"/>
  <c r="AH18" i="21"/>
  <c r="AI18" i="21" s="1"/>
  <c r="AD18" i="21"/>
  <c r="Z18" i="21"/>
  <c r="BW18" i="21" s="1"/>
  <c r="AE18" i="21"/>
  <c r="AJ18" i="21"/>
  <c r="AV20" i="21"/>
  <c r="AN20" i="21"/>
  <c r="AJ20" i="21"/>
  <c r="AD20" i="21"/>
  <c r="AT20" i="21"/>
  <c r="AU20" i="21" s="1"/>
  <c r="AN22" i="21"/>
  <c r="AQ23" i="21"/>
  <c r="AM23" i="21"/>
  <c r="AE23" i="21"/>
  <c r="AF23" i="21" s="1"/>
  <c r="AH23" i="21"/>
  <c r="AN23" i="21"/>
  <c r="AS23" i="21"/>
  <c r="AJ24" i="21"/>
  <c r="AQ28" i="21"/>
  <c r="AM28" i="21"/>
  <c r="AE28" i="21"/>
  <c r="AT28" i="21"/>
  <c r="AP28" i="21"/>
  <c r="AH28" i="21"/>
  <c r="AD28" i="21"/>
  <c r="Z28" i="21"/>
  <c r="BX28" i="21" s="1"/>
  <c r="AJ28" i="21"/>
  <c r="AG28" i="21"/>
  <c r="AS28" i="21"/>
  <c r="AQ30" i="21"/>
  <c r="AM30" i="21"/>
  <c r="AE30" i="21"/>
  <c r="AT30" i="21"/>
  <c r="AU30" i="21" s="1"/>
  <c r="AP30" i="21"/>
  <c r="AH30" i="21"/>
  <c r="AD30" i="21"/>
  <c r="Z30" i="21"/>
  <c r="BX30" i="21" s="1"/>
  <c r="AJ30" i="21"/>
  <c r="AW30" i="21"/>
  <c r="AX30" i="21" s="1"/>
  <c r="AG30" i="21"/>
  <c r="AK30" i="21"/>
  <c r="BY35" i="21"/>
  <c r="BX35" i="21"/>
  <c r="AC35" i="21"/>
  <c r="AB35" i="21"/>
  <c r="BV35" i="21"/>
  <c r="AU39" i="21"/>
  <c r="AB16" i="21"/>
  <c r="AN16" i="21" s="1"/>
  <c r="AC17" i="21"/>
  <c r="CC20" i="21"/>
  <c r="AT22" i="21"/>
  <c r="AU22" i="21" s="1"/>
  <c r="AP22" i="21"/>
  <c r="AR22" i="21" s="1"/>
  <c r="AH22" i="21"/>
  <c r="AI22" i="21" s="1"/>
  <c r="AD22" i="21"/>
  <c r="Z22" i="21"/>
  <c r="CC22" i="21" s="1"/>
  <c r="AE22" i="21"/>
  <c r="AJ22" i="21"/>
  <c r="AL22" i="21" s="1"/>
  <c r="AQ24" i="21"/>
  <c r="AM24" i="21"/>
  <c r="AT24" i="21"/>
  <c r="AU24" i="21" s="1"/>
  <c r="AP24" i="21"/>
  <c r="AH24" i="21"/>
  <c r="AD24" i="21"/>
  <c r="AV24" i="21"/>
  <c r="AN24" i="21"/>
  <c r="AO24" i="21" s="1"/>
  <c r="AG24" i="21"/>
  <c r="AE24" i="21"/>
  <c r="AF24" i="21" s="1"/>
  <c r="AK24" i="21"/>
  <c r="AW24" i="21"/>
  <c r="AV25" i="21"/>
  <c r="AN25" i="21"/>
  <c r="AJ25" i="21"/>
  <c r="AQ25" i="21"/>
  <c r="AM25" i="21"/>
  <c r="AE25" i="21"/>
  <c r="AS25" i="21"/>
  <c r="AK25" i="21"/>
  <c r="AD25" i="21"/>
  <c r="AO30" i="21"/>
  <c r="AQ32" i="21"/>
  <c r="AM32" i="21"/>
  <c r="AE32" i="21"/>
  <c r="AT32" i="21"/>
  <c r="AU32" i="21" s="1"/>
  <c r="AP32" i="21"/>
  <c r="AH32" i="21"/>
  <c r="AD32" i="21"/>
  <c r="Z32" i="21"/>
  <c r="BY32" i="21" s="1"/>
  <c r="AJ32" i="21"/>
  <c r="AW32" i="21"/>
  <c r="AX32" i="21" s="1"/>
  <c r="AG32" i="21"/>
  <c r="AK32" i="21"/>
  <c r="CC36" i="21"/>
  <c r="BV33" i="21"/>
  <c r="AC33" i="21"/>
  <c r="BY33" i="21"/>
  <c r="AB33" i="21"/>
  <c r="CC33" i="21" s="1"/>
  <c r="BX33" i="21"/>
  <c r="AS3" i="21"/>
  <c r="AG13" i="21"/>
  <c r="AI13" i="21" s="1"/>
  <c r="AK13" i="21"/>
  <c r="AL13" i="21" s="1"/>
  <c r="AS13" i="21"/>
  <c r="AG17" i="21"/>
  <c r="AI17" i="21" s="1"/>
  <c r="AK17" i="21"/>
  <c r="AL17" i="21" s="1"/>
  <c r="AS17" i="21"/>
  <c r="AG21" i="21"/>
  <c r="AI21" i="21" s="1"/>
  <c r="AK21" i="21"/>
  <c r="AL21" i="21" s="1"/>
  <c r="AS21" i="21"/>
  <c r="AQ29" i="21"/>
  <c r="AM29" i="21"/>
  <c r="AE29" i="21"/>
  <c r="AT29" i="21"/>
  <c r="AP29" i="21"/>
  <c r="AH29" i="21"/>
  <c r="AI29" i="21" s="1"/>
  <c r="AD29" i="21"/>
  <c r="Z29" i="21"/>
  <c r="BY29" i="21" s="1"/>
  <c r="AN29" i="21"/>
  <c r="AV29" i="21"/>
  <c r="AX29" i="21" s="1"/>
  <c r="AQ31" i="21"/>
  <c r="AM31" i="21"/>
  <c r="AE31" i="21"/>
  <c r="AT31" i="21"/>
  <c r="AU31" i="21" s="1"/>
  <c r="AP31" i="21"/>
  <c r="AH31" i="21"/>
  <c r="AD31" i="21"/>
  <c r="Z31" i="21"/>
  <c r="BW31" i="21" s="1"/>
  <c r="AN31" i="21"/>
  <c r="AV31" i="21"/>
  <c r="AX31" i="21" s="1"/>
  <c r="BY38" i="21"/>
  <c r="BX25" i="21"/>
  <c r="AJ26" i="21"/>
  <c r="AN26" i="21"/>
  <c r="AO26" i="21" s="1"/>
  <c r="AV26" i="21"/>
  <c r="AX26" i="21" s="1"/>
  <c r="AG27" i="21"/>
  <c r="AK27" i="21"/>
  <c r="AL27" i="21" s="1"/>
  <c r="AS27" i="21"/>
  <c r="AU27" i="21" s="1"/>
  <c r="AW27" i="21"/>
  <c r="AX27" i="21" s="1"/>
  <c r="AC34" i="21"/>
  <c r="BY34" i="21"/>
  <c r="AB34" i="21"/>
  <c r="AU37" i="21"/>
  <c r="AV39" i="21"/>
  <c r="AN39" i="21"/>
  <c r="AJ39" i="21"/>
  <c r="AQ39" i="21"/>
  <c r="AM39" i="21"/>
  <c r="AE39" i="21"/>
  <c r="AP39" i="21"/>
  <c r="AH39" i="21"/>
  <c r="AW39" i="21"/>
  <c r="AX39" i="21" s="1"/>
  <c r="AG39" i="21"/>
  <c r="Z39" i="21"/>
  <c r="AK39" i="21"/>
  <c r="AB25" i="21"/>
  <c r="CC25" i="21" s="1"/>
  <c r="AG26" i="21"/>
  <c r="AK26" i="21"/>
  <c r="AS26" i="21"/>
  <c r="AU26" i="21" s="1"/>
  <c r="Z27" i="21"/>
  <c r="AD27" i="21"/>
  <c r="AH27" i="21"/>
  <c r="AP27" i="21"/>
  <c r="AR27" i="21" s="1"/>
  <c r="AV37" i="21"/>
  <c r="AN37" i="21"/>
  <c r="AJ37" i="21"/>
  <c r="AQ37" i="21"/>
  <c r="AM37" i="21"/>
  <c r="AE37" i="21"/>
  <c r="AP37" i="21"/>
  <c r="AH37" i="21"/>
  <c r="AW37" i="21"/>
  <c r="AX37" i="21" s="1"/>
  <c r="AG37" i="21"/>
  <c r="Z37" i="21"/>
  <c r="BY37" i="21" s="1"/>
  <c r="AK37" i="21"/>
  <c r="AJ33" i="21"/>
  <c r="AN33" i="21"/>
  <c r="AV33" i="21"/>
  <c r="AX33" i="21" s="1"/>
  <c r="AJ34" i="21"/>
  <c r="AN34" i="21"/>
  <c r="AO34" i="21" s="1"/>
  <c r="AV34" i="21"/>
  <c r="AJ35" i="21"/>
  <c r="AN35" i="21"/>
  <c r="AO35" i="21" s="1"/>
  <c r="AV35" i="21"/>
  <c r="AX35" i="21" s="1"/>
  <c r="AK36" i="21"/>
  <c r="AK38" i="21"/>
  <c r="AK40" i="21"/>
  <c r="AG33" i="21"/>
  <c r="AI33" i="21" s="1"/>
  <c r="AK33" i="21"/>
  <c r="AS33" i="21"/>
  <c r="AU33" i="21" s="1"/>
  <c r="AG34" i="21"/>
  <c r="AI34" i="21" s="1"/>
  <c r="AK34" i="21"/>
  <c r="AS34" i="21"/>
  <c r="AG35" i="21"/>
  <c r="AK35" i="21"/>
  <c r="AL35" i="21" s="1"/>
  <c r="AS35" i="21"/>
  <c r="AU35" i="21" s="1"/>
  <c r="AV36" i="21"/>
  <c r="AN36" i="21"/>
  <c r="AO36" i="21" s="1"/>
  <c r="AJ36" i="21"/>
  <c r="AQ36" i="21"/>
  <c r="AR36" i="21" s="1"/>
  <c r="AM36" i="21"/>
  <c r="AE36" i="21"/>
  <c r="AD36" i="21"/>
  <c r="AT36" i="21"/>
  <c r="AU36" i="21" s="1"/>
  <c r="AV38" i="21"/>
  <c r="AN38" i="21"/>
  <c r="AO38" i="21" s="1"/>
  <c r="AJ38" i="21"/>
  <c r="AQ38" i="21"/>
  <c r="AR38" i="21" s="1"/>
  <c r="AM38" i="21"/>
  <c r="AE38" i="21"/>
  <c r="AD38" i="21"/>
  <c r="AT38" i="21"/>
  <c r="AU38" i="21" s="1"/>
  <c r="AV40" i="21"/>
  <c r="AN40" i="21"/>
  <c r="AJ40" i="21"/>
  <c r="AQ40" i="21"/>
  <c r="AM40" i="21"/>
  <c r="AE40" i="21"/>
  <c r="AD40" i="21"/>
  <c r="AT40" i="21"/>
  <c r="AU40" i="21" s="1"/>
  <c r="BX38" i="21"/>
  <c r="AB36" i="21"/>
  <c r="AB37" i="21"/>
  <c r="AB38" i="21"/>
  <c r="CC38" i="21" s="1"/>
  <c r="AB39" i="21"/>
  <c r="AB40" i="21"/>
  <c r="BQ24" i="22" l="1"/>
  <c r="BR24" i="22"/>
  <c r="BO25" i="22"/>
  <c r="BS25" i="22" s="1"/>
  <c r="O25" i="22" s="1"/>
  <c r="BL25" i="22"/>
  <c r="J25" i="22"/>
  <c r="BJ26" i="22"/>
  <c r="BM26" i="22"/>
  <c r="BK26" i="22"/>
  <c r="BN25" i="22"/>
  <c r="BP25" i="22"/>
  <c r="A28" i="22"/>
  <c r="L27" i="22"/>
  <c r="X27" i="22"/>
  <c r="B27" i="22"/>
  <c r="U27" i="22" s="1"/>
  <c r="BI27" i="22" s="1"/>
  <c r="M27" i="22"/>
  <c r="AL34" i="21"/>
  <c r="AL25" i="21"/>
  <c r="AX24" i="21"/>
  <c r="AL12" i="21"/>
  <c r="BV32" i="21"/>
  <c r="AO18" i="21"/>
  <c r="BW21" i="21"/>
  <c r="AF37" i="21"/>
  <c r="AO37" i="21"/>
  <c r="AO39" i="21"/>
  <c r="CC26" i="21"/>
  <c r="AU17" i="21"/>
  <c r="AX25" i="21"/>
  <c r="AO28" i="21"/>
  <c r="AR23" i="21"/>
  <c r="AL20" i="21"/>
  <c r="BV13" i="21"/>
  <c r="AO21" i="21"/>
  <c r="AU13" i="21"/>
  <c r="BW17" i="21"/>
  <c r="BU17" i="21" s="1"/>
  <c r="BV11" i="21"/>
  <c r="BY20" i="21"/>
  <c r="BW20" i="21"/>
  <c r="BY11" i="21"/>
  <c r="BY18" i="21"/>
  <c r="BX20" i="21"/>
  <c r="BU20" i="21" s="1"/>
  <c r="BW15" i="21"/>
  <c r="AO27" i="21"/>
  <c r="AL28" i="21"/>
  <c r="AF27" i="21"/>
  <c r="BW32" i="21"/>
  <c r="BX32" i="21"/>
  <c r="CC28" i="21"/>
  <c r="AX20" i="21"/>
  <c r="AU19" i="21"/>
  <c r="CC11" i="21"/>
  <c r="AH11" i="21" s="1"/>
  <c r="BY17" i="21"/>
  <c r="BW10" i="21"/>
  <c r="AL18" i="21"/>
  <c r="AU23" i="21"/>
  <c r="AI40" i="21"/>
  <c r="BY10" i="21"/>
  <c r="AO15" i="21"/>
  <c r="AI35" i="21"/>
  <c r="BC35" i="21" s="1"/>
  <c r="BW34" i="21"/>
  <c r="AI26" i="21"/>
  <c r="BC26" i="21" s="1"/>
  <c r="AF39" i="21"/>
  <c r="AU29" i="21"/>
  <c r="AX40" i="21"/>
  <c r="AX38" i="21"/>
  <c r="CC27" i="21"/>
  <c r="AO32" i="21"/>
  <c r="CC19" i="21"/>
  <c r="AL19" i="21"/>
  <c r="BV10" i="21"/>
  <c r="AR10" i="21"/>
  <c r="AL14" i="21"/>
  <c r="BW11" i="21"/>
  <c r="BX11" i="21"/>
  <c r="AL31" i="21"/>
  <c r="AF33" i="21"/>
  <c r="CC24" i="21"/>
  <c r="CC35" i="21"/>
  <c r="BX37" i="21"/>
  <c r="AF38" i="21"/>
  <c r="AL40" i="21"/>
  <c r="BY40" i="21"/>
  <c r="AI31" i="21"/>
  <c r="AR25" i="21"/>
  <c r="AO23" i="21"/>
  <c r="CC23" i="21"/>
  <c r="AI11" i="21"/>
  <c r="AX10" i="21"/>
  <c r="BW40" i="21"/>
  <c r="CC17" i="21"/>
  <c r="AX11" i="21"/>
  <c r="BX36" i="21"/>
  <c r="AL38" i="21"/>
  <c r="BV34" i="21"/>
  <c r="BW29" i="21"/>
  <c r="AU21" i="21"/>
  <c r="AU25" i="21"/>
  <c r="BV17" i="21"/>
  <c r="AI23" i="21"/>
  <c r="AO22" i="21"/>
  <c r="AF18" i="21"/>
  <c r="BY36" i="21"/>
  <c r="AI12" i="21"/>
  <c r="AO12" i="21"/>
  <c r="B11" i="21"/>
  <c r="U11" i="21" s="1"/>
  <c r="BI11" i="21" s="1"/>
  <c r="BJ11" i="21" s="1"/>
  <c r="J11" i="21" s="1"/>
  <c r="BV29" i="21"/>
  <c r="BW22" i="21"/>
  <c r="BY23" i="21"/>
  <c r="BU23" i="21" s="1"/>
  <c r="A13" i="21"/>
  <c r="X13" i="21" s="1"/>
  <c r="AF34" i="21"/>
  <c r="AI36" i="21"/>
  <c r="BX40" i="21"/>
  <c r="AR40" i="21"/>
  <c r="AX36" i="21"/>
  <c r="AU34" i="21"/>
  <c r="AL33" i="21"/>
  <c r="AX34" i="21"/>
  <c r="AO33" i="21"/>
  <c r="AL37" i="21"/>
  <c r="AR37" i="21"/>
  <c r="AI27" i="21"/>
  <c r="BC27" i="21" s="1"/>
  <c r="AL26" i="21"/>
  <c r="CC40" i="21"/>
  <c r="CC34" i="21"/>
  <c r="CC31" i="21"/>
  <c r="AF25" i="21"/>
  <c r="AO25" i="21"/>
  <c r="AL30" i="21"/>
  <c r="CC30" i="21"/>
  <c r="BX29" i="21"/>
  <c r="AU28" i="21"/>
  <c r="AO20" i="21"/>
  <c r="AU18" i="21"/>
  <c r="AU12" i="21"/>
  <c r="AR12" i="21"/>
  <c r="X11" i="21"/>
  <c r="AL10" i="21"/>
  <c r="BY25" i="21"/>
  <c r="AR15" i="21"/>
  <c r="AU14" i="21"/>
  <c r="BY24" i="21"/>
  <c r="BU24" i="21" s="1"/>
  <c r="AR33" i="21"/>
  <c r="AX28" i="21"/>
  <c r="AQ11" i="21"/>
  <c r="AR11" i="21" s="1"/>
  <c r="AK11" i="21"/>
  <c r="AL11" i="21" s="1"/>
  <c r="AT11" i="21"/>
  <c r="AU11" i="21" s="1"/>
  <c r="AE11" i="21"/>
  <c r="AF11" i="21" s="1"/>
  <c r="AX15" i="21"/>
  <c r="AQ16" i="21"/>
  <c r="CC16" i="21"/>
  <c r="AH16" i="21" s="1"/>
  <c r="AW16" i="21"/>
  <c r="AX16" i="21" s="1"/>
  <c r="AK16" i="21"/>
  <c r="AT16" i="21"/>
  <c r="AE16" i="21"/>
  <c r="AD16" i="21"/>
  <c r="AS16" i="21"/>
  <c r="AP16" i="21"/>
  <c r="AJ16" i="21"/>
  <c r="AG16" i="21"/>
  <c r="AM16" i="21"/>
  <c r="AO16" i="21" s="1"/>
  <c r="AR16" i="21"/>
  <c r="AV16" i="21"/>
  <c r="AU15" i="21"/>
  <c r="AE15" i="21"/>
  <c r="CC15" i="21"/>
  <c r="AH15" i="21" s="1"/>
  <c r="AI15" i="21" s="1"/>
  <c r="AD15" i="21"/>
  <c r="AL36" i="21"/>
  <c r="CC39" i="21"/>
  <c r="AF29" i="21"/>
  <c r="CC14" i="21"/>
  <c r="BV14" i="21"/>
  <c r="BY28" i="21"/>
  <c r="BX39" i="21"/>
  <c r="BW30" i="21"/>
  <c r="AF31" i="21"/>
  <c r="AF28" i="21"/>
  <c r="BW14" i="21"/>
  <c r="AR19" i="21"/>
  <c r="BU26" i="21"/>
  <c r="BV19" i="21"/>
  <c r="BU38" i="21"/>
  <c r="BY19" i="21"/>
  <c r="AI37" i="21"/>
  <c r="BC37" i="21" s="1"/>
  <c r="AO29" i="21"/>
  <c r="AR29" i="21"/>
  <c r="AR32" i="21"/>
  <c r="AF22" i="21"/>
  <c r="BC22" i="21" s="1"/>
  <c r="BX19" i="21"/>
  <c r="BW16" i="21"/>
  <c r="BU35" i="21"/>
  <c r="AI30" i="21"/>
  <c r="AI28" i="21"/>
  <c r="BX15" i="21"/>
  <c r="BY27" i="21"/>
  <c r="AX12" i="21"/>
  <c r="BU25" i="21"/>
  <c r="BV39" i="21"/>
  <c r="AI14" i="21"/>
  <c r="BX16" i="21"/>
  <c r="CC10" i="21"/>
  <c r="BW19" i="21"/>
  <c r="AO10" i="21"/>
  <c r="BX22" i="21"/>
  <c r="BU21" i="21"/>
  <c r="BY31" i="21"/>
  <c r="BW39" i="21"/>
  <c r="BV31" i="21"/>
  <c r="BK10" i="21"/>
  <c r="BJ10" i="21"/>
  <c r="BU33" i="21"/>
  <c r="AF32" i="21"/>
  <c r="BC17" i="21"/>
  <c r="BU13" i="21"/>
  <c r="BV27" i="21"/>
  <c r="BV30" i="21"/>
  <c r="BU12" i="21"/>
  <c r="BY39" i="21"/>
  <c r="AF36" i="21"/>
  <c r="BU34" i="21"/>
  <c r="AI32" i="21"/>
  <c r="AL24" i="21"/>
  <c r="AF30" i="21"/>
  <c r="CC18" i="21"/>
  <c r="BX27" i="21"/>
  <c r="BW27" i="21"/>
  <c r="BU10" i="21"/>
  <c r="AL15" i="21"/>
  <c r="BV18" i="21"/>
  <c r="AF40" i="21"/>
  <c r="AO40" i="21"/>
  <c r="CC37" i="21"/>
  <c r="AL39" i="21"/>
  <c r="AI39" i="21"/>
  <c r="AR39" i="21"/>
  <c r="BW28" i="21"/>
  <c r="AO31" i="21"/>
  <c r="AR31" i="21"/>
  <c r="CC29" i="21"/>
  <c r="BU29" i="21" s="1"/>
  <c r="AL32" i="21"/>
  <c r="CC32" i="21"/>
  <c r="BU32" i="21" s="1"/>
  <c r="AI24" i="21"/>
  <c r="AR24" i="21"/>
  <c r="BX18" i="21"/>
  <c r="BX31" i="21"/>
  <c r="AR30" i="21"/>
  <c r="AR28" i="21"/>
  <c r="BX14" i="21"/>
  <c r="BC13" i="21"/>
  <c r="AF19" i="21"/>
  <c r="AF14" i="21"/>
  <c r="BY30" i="21"/>
  <c r="BY22" i="21"/>
  <c r="BV16" i="21"/>
  <c r="AF10" i="21"/>
  <c r="BV15" i="21"/>
  <c r="BV28" i="21"/>
  <c r="BV37" i="21"/>
  <c r="BV22" i="21"/>
  <c r="AX14" i="21"/>
  <c r="BY14" i="21"/>
  <c r="BW37" i="21"/>
  <c r="X28" i="22" l="1"/>
  <c r="M28" i="22"/>
  <c r="B28" i="22"/>
  <c r="U28" i="22" s="1"/>
  <c r="BI28" i="22" s="1"/>
  <c r="A29" i="22"/>
  <c r="L28" i="22"/>
  <c r="BN26" i="22"/>
  <c r="BP26" i="22"/>
  <c r="BJ27" i="22"/>
  <c r="BM27" i="22"/>
  <c r="BK27" i="22"/>
  <c r="BQ25" i="22"/>
  <c r="BR25" i="22"/>
  <c r="BO26" i="22"/>
  <c r="BS26" i="22" s="1"/>
  <c r="O26" i="22" s="1"/>
  <c r="BL26" i="22"/>
  <c r="J26" i="22"/>
  <c r="BC34" i="21"/>
  <c r="BC25" i="21"/>
  <c r="CE25" i="21" s="1"/>
  <c r="BU40" i="21"/>
  <c r="BC39" i="21"/>
  <c r="BB39" i="21" s="1"/>
  <c r="V39" i="21" s="1"/>
  <c r="BC36" i="21"/>
  <c r="BC20" i="21"/>
  <c r="BB20" i="21" s="1"/>
  <c r="V20" i="21" s="1"/>
  <c r="BC33" i="21"/>
  <c r="CE33" i="21" s="1"/>
  <c r="BC21" i="21"/>
  <c r="BB21" i="21" s="1"/>
  <c r="V21" i="21" s="1"/>
  <c r="BU36" i="21"/>
  <c r="BU11" i="21"/>
  <c r="BC30" i="21"/>
  <c r="K30" i="21" s="1"/>
  <c r="BC12" i="21"/>
  <c r="K12" i="21" s="1"/>
  <c r="BC23" i="21"/>
  <c r="K23" i="21" s="1"/>
  <c r="BB23" i="21"/>
  <c r="V23" i="21" s="1"/>
  <c r="BC38" i="21"/>
  <c r="CE38" i="21" s="1"/>
  <c r="BC24" i="21"/>
  <c r="CE24" i="21" s="1"/>
  <c r="BK12" i="21"/>
  <c r="BU28" i="21"/>
  <c r="BU39" i="21"/>
  <c r="BU14" i="21"/>
  <c r="BC18" i="21"/>
  <c r="K18" i="21" s="1"/>
  <c r="A14" i="21"/>
  <c r="A15" i="21" s="1"/>
  <c r="BU30" i="21"/>
  <c r="AU16" i="21"/>
  <c r="B13" i="21"/>
  <c r="U13" i="21" s="1"/>
  <c r="BI13" i="21" s="1"/>
  <c r="BJ13" i="21" s="1"/>
  <c r="J13" i="21" s="1"/>
  <c r="BK11" i="21"/>
  <c r="BC31" i="21"/>
  <c r="K31" i="21" s="1"/>
  <c r="BB35" i="21"/>
  <c r="V35" i="21" s="1"/>
  <c r="BB17" i="21"/>
  <c r="V17" i="21" s="1"/>
  <c r="BB34" i="21"/>
  <c r="V34" i="21" s="1"/>
  <c r="BC11" i="21"/>
  <c r="K11" i="21" s="1"/>
  <c r="BB13" i="21"/>
  <c r="V13" i="21" s="1"/>
  <c r="BB26" i="21"/>
  <c r="V26" i="21" s="1"/>
  <c r="AF15" i="21"/>
  <c r="BC15" i="21" s="1"/>
  <c r="AI16" i="21"/>
  <c r="AF16" i="21"/>
  <c r="AL16" i="21"/>
  <c r="BU15" i="21"/>
  <c r="K27" i="21"/>
  <c r="BU22" i="21"/>
  <c r="BB22" i="21" s="1"/>
  <c r="V22" i="21" s="1"/>
  <c r="BC10" i="21"/>
  <c r="BB10" i="21" s="1"/>
  <c r="V10" i="21" s="1"/>
  <c r="BC14" i="21"/>
  <c r="CE13" i="21"/>
  <c r="K13" i="21"/>
  <c r="BC40" i="21"/>
  <c r="BB40" i="21" s="1"/>
  <c r="V40" i="21" s="1"/>
  <c r="CE26" i="21"/>
  <c r="K26" i="21"/>
  <c r="CE17" i="21"/>
  <c r="K17" i="21"/>
  <c r="BU31" i="21"/>
  <c r="K22" i="21"/>
  <c r="BB38" i="21"/>
  <c r="V38" i="21" s="1"/>
  <c r="BB36" i="21"/>
  <c r="V36" i="21" s="1"/>
  <c r="CE23" i="21"/>
  <c r="K33" i="21"/>
  <c r="BB33" i="21"/>
  <c r="V33" i="21" s="1"/>
  <c r="CE36" i="21"/>
  <c r="CE35" i="21"/>
  <c r="CE34" i="21"/>
  <c r="BU37" i="21"/>
  <c r="BB37" i="21" s="1"/>
  <c r="V37" i="21" s="1"/>
  <c r="BU16" i="21"/>
  <c r="BC19" i="21"/>
  <c r="BU18" i="21"/>
  <c r="BU27" i="21"/>
  <c r="BB27" i="21" s="1"/>
  <c r="V27" i="21" s="1"/>
  <c r="BC32" i="21"/>
  <c r="BL12" i="21"/>
  <c r="BL11" i="21"/>
  <c r="J10" i="21"/>
  <c r="BL10" i="21"/>
  <c r="BU19" i="21"/>
  <c r="BC28" i="21"/>
  <c r="BC29" i="21"/>
  <c r="BB29" i="21" s="1"/>
  <c r="V29" i="21" s="1"/>
  <c r="CE20" i="21"/>
  <c r="BN27" i="22" l="1"/>
  <c r="BP27" i="22"/>
  <c r="BJ28" i="22"/>
  <c r="BM28" i="22"/>
  <c r="BK28" i="22"/>
  <c r="BO27" i="22"/>
  <c r="BS27" i="22" s="1"/>
  <c r="O27" i="22" s="1"/>
  <c r="BL27" i="22"/>
  <c r="J27" i="22"/>
  <c r="BR26" i="22"/>
  <c r="BQ26" i="22"/>
  <c r="X29" i="22"/>
  <c r="M29" i="22"/>
  <c r="E29" i="22"/>
  <c r="B29" i="22"/>
  <c r="U29" i="22" s="1"/>
  <c r="BI29" i="22" s="1"/>
  <c r="L29" i="22"/>
  <c r="A30" i="22"/>
  <c r="BB25" i="21"/>
  <c r="V25" i="21" s="1"/>
  <c r="K20" i="21"/>
  <c r="K21" i="21"/>
  <c r="K25" i="21"/>
  <c r="CE12" i="21"/>
  <c r="BB12" i="21"/>
  <c r="V12" i="21" s="1"/>
  <c r="CE30" i="21"/>
  <c r="BB24" i="21"/>
  <c r="V24" i="21" s="1"/>
  <c r="CE21" i="21"/>
  <c r="K24" i="21"/>
  <c r="BB28" i="21"/>
  <c r="V28" i="21" s="1"/>
  <c r="CE15" i="21"/>
  <c r="CE31" i="21"/>
  <c r="CE39" i="21"/>
  <c r="BB31" i="21"/>
  <c r="V31" i="21" s="1"/>
  <c r="BB14" i="21"/>
  <c r="V14" i="21" s="1"/>
  <c r="BD23" i="21"/>
  <c r="BE23" i="21" s="1"/>
  <c r="BD25" i="21"/>
  <c r="BF25" i="21" s="1"/>
  <c r="BD20" i="21"/>
  <c r="BE20" i="21" s="1"/>
  <c r="BD34" i="21"/>
  <c r="BF34" i="21" s="1"/>
  <c r="BB30" i="21"/>
  <c r="V30" i="21" s="1"/>
  <c r="CE11" i="21"/>
  <c r="CE22" i="21"/>
  <c r="CE37" i="21"/>
  <c r="BB11" i="21"/>
  <c r="V11" i="21" s="1"/>
  <c r="BD13" i="21"/>
  <c r="BM13" i="21" s="1"/>
  <c r="BN13" i="21" s="1"/>
  <c r="X14" i="21"/>
  <c r="B14" i="21"/>
  <c r="U14" i="21" s="1"/>
  <c r="BI14" i="21" s="1"/>
  <c r="BJ14" i="21" s="1"/>
  <c r="J14" i="21" s="1"/>
  <c r="BL13" i="21"/>
  <c r="BK13" i="21"/>
  <c r="BD35" i="21"/>
  <c r="BE35" i="21" s="1"/>
  <c r="BD17" i="21"/>
  <c r="BE17" i="21" s="1"/>
  <c r="BD26" i="21"/>
  <c r="BE26" i="21" s="1"/>
  <c r="BD12" i="21"/>
  <c r="BM12" i="21" s="1"/>
  <c r="BN12" i="21" s="1"/>
  <c r="BD22" i="21"/>
  <c r="BF22" i="21" s="1"/>
  <c r="BC16" i="21"/>
  <c r="K16" i="21" s="1"/>
  <c r="K15" i="21"/>
  <c r="BB15" i="21"/>
  <c r="V15" i="21" s="1"/>
  <c r="CE32" i="21"/>
  <c r="K32" i="21"/>
  <c r="BB32" i="21"/>
  <c r="V32" i="21" s="1"/>
  <c r="K29" i="21"/>
  <c r="CE29" i="21"/>
  <c r="BD29" i="21"/>
  <c r="K14" i="21"/>
  <c r="CE14" i="21"/>
  <c r="K28" i="21"/>
  <c r="CE28" i="21"/>
  <c r="BD33" i="21"/>
  <c r="K10" i="21"/>
  <c r="CE10" i="21"/>
  <c r="BD10" i="21"/>
  <c r="BD27" i="21"/>
  <c r="BD21" i="21"/>
  <c r="BD37" i="21"/>
  <c r="CE19" i="21"/>
  <c r="K19" i="21"/>
  <c r="X15" i="21"/>
  <c r="A16" i="21"/>
  <c r="B15" i="21"/>
  <c r="U15" i="21" s="1"/>
  <c r="BI15" i="21" s="1"/>
  <c r="BD40" i="21"/>
  <c r="CE40" i="21"/>
  <c r="BB19" i="21"/>
  <c r="V19" i="21" s="1"/>
  <c r="BB18" i="21"/>
  <c r="CE18" i="21"/>
  <c r="BD36" i="21"/>
  <c r="CE27" i="21"/>
  <c r="BD38" i="21"/>
  <c r="BD39" i="21"/>
  <c r="BJ29" i="22" l="1"/>
  <c r="BM29" i="22"/>
  <c r="BK29" i="22"/>
  <c r="BO28" i="22"/>
  <c r="BS28" i="22" s="1"/>
  <c r="O28" i="22" s="1"/>
  <c r="BL28" i="22"/>
  <c r="J28" i="22"/>
  <c r="BF23" i="21"/>
  <c r="X30" i="22"/>
  <c r="M30" i="22"/>
  <c r="E30" i="22"/>
  <c r="L30" i="22"/>
  <c r="A31" i="22"/>
  <c r="B30" i="22"/>
  <c r="U30" i="22" s="1"/>
  <c r="BI30" i="22" s="1"/>
  <c r="BR27" i="22"/>
  <c r="BQ27" i="22"/>
  <c r="BN28" i="22"/>
  <c r="BP28" i="22"/>
  <c r="BE34" i="21"/>
  <c r="BD24" i="21"/>
  <c r="BF24" i="21" s="1"/>
  <c r="BE22" i="21"/>
  <c r="BF35" i="21"/>
  <c r="BD28" i="21"/>
  <c r="BE28" i="21" s="1"/>
  <c r="BF20" i="21"/>
  <c r="BD14" i="21"/>
  <c r="BE14" i="21" s="1"/>
  <c r="L14" i="21" s="1"/>
  <c r="BE25" i="21"/>
  <c r="BD31" i="21"/>
  <c r="BE31" i="21" s="1"/>
  <c r="BF13" i="21"/>
  <c r="BO13" i="21" s="1"/>
  <c r="BF26" i="21"/>
  <c r="BD11" i="21"/>
  <c r="BF11" i="21" s="1"/>
  <c r="BO11" i="21" s="1"/>
  <c r="BE13" i="21"/>
  <c r="L13" i="21" s="1"/>
  <c r="BD30" i="21"/>
  <c r="BF30" i="21" s="1"/>
  <c r="BL14" i="21"/>
  <c r="BK15" i="21"/>
  <c r="BK14" i="21"/>
  <c r="BF17" i="21"/>
  <c r="BF12" i="21"/>
  <c r="BO12" i="21" s="1"/>
  <c r="CE16" i="21"/>
  <c r="BB16" i="21"/>
  <c r="V16" i="21" s="1"/>
  <c r="BD32" i="21"/>
  <c r="BF32" i="21" s="1"/>
  <c r="BE12" i="21"/>
  <c r="L12" i="21" s="1"/>
  <c r="BD15" i="21"/>
  <c r="BF37" i="21"/>
  <c r="BE37" i="21"/>
  <c r="BG10" i="21"/>
  <c r="BE10" i="21"/>
  <c r="BM10" i="21"/>
  <c r="BF10" i="21"/>
  <c r="BO10" i="21" s="1"/>
  <c r="BF38" i="21"/>
  <c r="BE38" i="21"/>
  <c r="BJ15" i="21"/>
  <c r="BD19" i="21"/>
  <c r="BE21" i="21"/>
  <c r="BF21" i="21"/>
  <c r="BF40" i="21"/>
  <c r="BE40" i="21"/>
  <c r="V18" i="21"/>
  <c r="BD18" i="21"/>
  <c r="X16" i="21"/>
  <c r="B16" i="21"/>
  <c r="U16" i="21" s="1"/>
  <c r="BI16" i="21" s="1"/>
  <c r="BK16" i="21" s="1"/>
  <c r="A17" i="21"/>
  <c r="BF39" i="21"/>
  <c r="BE39" i="21"/>
  <c r="BF36" i="21"/>
  <c r="BE36" i="21"/>
  <c r="BF27" i="21"/>
  <c r="BE27" i="21"/>
  <c r="BE33" i="21"/>
  <c r="BF33" i="21"/>
  <c r="BF29" i="21"/>
  <c r="BE29" i="21"/>
  <c r="BQ28" i="22" l="1"/>
  <c r="BR28" i="22"/>
  <c r="BJ30" i="22"/>
  <c r="BM30" i="22"/>
  <c r="BK30" i="22"/>
  <c r="X31" i="22"/>
  <c r="M31" i="22"/>
  <c r="E31" i="22"/>
  <c r="B31" i="22"/>
  <c r="U31" i="22" s="1"/>
  <c r="BI31" i="22" s="1"/>
  <c r="L31" i="22"/>
  <c r="A32" i="22"/>
  <c r="BN29" i="22"/>
  <c r="BP29" i="22"/>
  <c r="BO29" i="22"/>
  <c r="BS29" i="22" s="1"/>
  <c r="O29" i="22" s="1"/>
  <c r="BL29" i="22"/>
  <c r="J29" i="22"/>
  <c r="BM14" i="21"/>
  <c r="BN14" i="21" s="1"/>
  <c r="BE11" i="21"/>
  <c r="L11" i="21" s="1"/>
  <c r="BF14" i="21"/>
  <c r="BO14" i="21" s="1"/>
  <c r="BS14" i="21" s="1"/>
  <c r="O14" i="21" s="1"/>
  <c r="BE24" i="21"/>
  <c r="BG14" i="21"/>
  <c r="BE30" i="21"/>
  <c r="BF28" i="21"/>
  <c r="BG11" i="21"/>
  <c r="BG13" i="21"/>
  <c r="BG15" i="21"/>
  <c r="BF31" i="21"/>
  <c r="BG12" i="21"/>
  <c r="BM11" i="21"/>
  <c r="BN11" i="21" s="1"/>
  <c r="BD16" i="21"/>
  <c r="BG31" i="21" s="1"/>
  <c r="BM15" i="21"/>
  <c r="BN15" i="21" s="1"/>
  <c r="BF15" i="21"/>
  <c r="BO15" i="21" s="1"/>
  <c r="BE15" i="21"/>
  <c r="L15" i="21" s="1"/>
  <c r="BE32" i="21"/>
  <c r="A18" i="21"/>
  <c r="B17" i="21"/>
  <c r="U17" i="21" s="1"/>
  <c r="BI17" i="21" s="1"/>
  <c r="X17" i="21"/>
  <c r="L17" i="21"/>
  <c r="BH10" i="21"/>
  <c r="M10" i="21" s="1"/>
  <c r="L10" i="21"/>
  <c r="BP12" i="21"/>
  <c r="BP10" i="21"/>
  <c r="BN10" i="21"/>
  <c r="BF18" i="21"/>
  <c r="BE18" i="21"/>
  <c r="BS10" i="21"/>
  <c r="O10" i="21" s="1"/>
  <c r="BS11" i="21"/>
  <c r="O11" i="21" s="1"/>
  <c r="BS13" i="21"/>
  <c r="O13" i="21" s="1"/>
  <c r="BS12" i="21"/>
  <c r="O12" i="21" s="1"/>
  <c r="BJ16" i="21"/>
  <c r="J16" i="21" s="1"/>
  <c r="BE19" i="21"/>
  <c r="BF19" i="21"/>
  <c r="BL15" i="21"/>
  <c r="J15" i="21"/>
  <c r="BN30" i="22" l="1"/>
  <c r="BP30" i="22"/>
  <c r="BQ29" i="22"/>
  <c r="BR29" i="22"/>
  <c r="BJ31" i="22"/>
  <c r="BM31" i="22"/>
  <c r="BK31" i="22"/>
  <c r="BO30" i="22"/>
  <c r="BS30" i="22" s="1"/>
  <c r="O30" i="22" s="1"/>
  <c r="BL30" i="22"/>
  <c r="J30" i="22"/>
  <c r="X32" i="22"/>
  <c r="M32" i="22"/>
  <c r="E32" i="22"/>
  <c r="L32" i="22"/>
  <c r="A33" i="22"/>
  <c r="B32" i="22"/>
  <c r="U32" i="22" s="1"/>
  <c r="BI32" i="22" s="1"/>
  <c r="BH11" i="21"/>
  <c r="M11" i="21" s="1"/>
  <c r="BH13" i="21"/>
  <c r="M13" i="21" s="1"/>
  <c r="BH14" i="21"/>
  <c r="M14" i="21" s="1"/>
  <c r="BH12" i="21"/>
  <c r="M12" i="21" s="1"/>
  <c r="BS15" i="21"/>
  <c r="O15" i="21" s="1"/>
  <c r="BP14" i="21"/>
  <c r="BQ14" i="21" s="1"/>
  <c r="BG36" i="21"/>
  <c r="BP13" i="21"/>
  <c r="BQ13" i="21" s="1"/>
  <c r="BP11" i="21"/>
  <c r="BR11" i="21" s="1"/>
  <c r="BG34" i="21"/>
  <c r="BG29" i="21"/>
  <c r="BG33" i="21"/>
  <c r="BG21" i="21"/>
  <c r="BG39" i="21"/>
  <c r="BG17" i="21"/>
  <c r="BG26" i="21"/>
  <c r="BG32" i="21"/>
  <c r="BG27" i="21"/>
  <c r="BG28" i="21"/>
  <c r="BG25" i="21"/>
  <c r="BG40" i="21"/>
  <c r="BG22" i="21"/>
  <c r="BG35" i="21"/>
  <c r="BG24" i="21"/>
  <c r="BG38" i="21"/>
  <c r="BG20" i="21"/>
  <c r="BG30" i="21"/>
  <c r="BG16" i="21"/>
  <c r="BM16" i="21"/>
  <c r="BN16" i="21" s="1"/>
  <c r="BG37" i="21"/>
  <c r="BG18" i="21"/>
  <c r="BG19" i="21"/>
  <c r="BG23" i="21"/>
  <c r="BF16" i="21"/>
  <c r="BO16" i="21" s="1"/>
  <c r="BS16" i="21" s="1"/>
  <c r="O16" i="21" s="1"/>
  <c r="BE16" i="21"/>
  <c r="L16" i="21" s="1"/>
  <c r="BH15" i="21"/>
  <c r="M15" i="21" s="1"/>
  <c r="BP15" i="21"/>
  <c r="BQ15" i="21" s="1"/>
  <c r="BL16" i="21"/>
  <c r="BJ17" i="21"/>
  <c r="BM17" i="21"/>
  <c r="BR10" i="21"/>
  <c r="BQ10" i="21"/>
  <c r="BQ12" i="21"/>
  <c r="BR12" i="21"/>
  <c r="A19" i="21"/>
  <c r="B18" i="21"/>
  <c r="U18" i="21" s="1"/>
  <c r="BI18" i="21" s="1"/>
  <c r="BK18" i="21" s="1"/>
  <c r="L18" i="21"/>
  <c r="X18" i="21"/>
  <c r="BK17" i="21"/>
  <c r="BJ32" i="22" l="1"/>
  <c r="BM32" i="22"/>
  <c r="BK32" i="22"/>
  <c r="BN31" i="22"/>
  <c r="BP31" i="22"/>
  <c r="BQ30" i="22"/>
  <c r="BR30" i="22"/>
  <c r="X33" i="22"/>
  <c r="M33" i="22"/>
  <c r="E33" i="22"/>
  <c r="B33" i="22"/>
  <c r="U33" i="22" s="1"/>
  <c r="BI33" i="22" s="1"/>
  <c r="L33" i="22"/>
  <c r="A34" i="22"/>
  <c r="BO31" i="22"/>
  <c r="BS31" i="22" s="1"/>
  <c r="O31" i="22" s="1"/>
  <c r="BL31" i="22"/>
  <c r="J31" i="22"/>
  <c r="BR14" i="21"/>
  <c r="BR13" i="21"/>
  <c r="BH20" i="21"/>
  <c r="BQ11" i="21"/>
  <c r="BP16" i="21"/>
  <c r="BR16" i="21" s="1"/>
  <c r="BH31" i="21"/>
  <c r="BH39" i="21"/>
  <c r="BH38" i="21"/>
  <c r="BH36" i="21"/>
  <c r="BH23" i="21"/>
  <c r="BH25" i="21"/>
  <c r="BH22" i="21"/>
  <c r="BH30" i="21"/>
  <c r="BH34" i="21"/>
  <c r="BH37" i="21"/>
  <c r="BH28" i="21"/>
  <c r="BH27" i="21"/>
  <c r="BH33" i="21"/>
  <c r="BH32" i="21"/>
  <c r="BH19" i="21"/>
  <c r="M19" i="21" s="1"/>
  <c r="BH18" i="21"/>
  <c r="M18" i="21" s="1"/>
  <c r="BH29" i="21"/>
  <c r="BH35" i="21"/>
  <c r="BH26" i="21"/>
  <c r="BH17" i="21"/>
  <c r="M17" i="21" s="1"/>
  <c r="BH21" i="21"/>
  <c r="BH24" i="21"/>
  <c r="BH16" i="21"/>
  <c r="M16" i="21" s="1"/>
  <c r="BH40" i="21"/>
  <c r="BG41" i="21" s="1"/>
  <c r="BR15" i="21"/>
  <c r="BJ18" i="21"/>
  <c r="BL18" i="21" s="1"/>
  <c r="BM18" i="21"/>
  <c r="BN18" i="21" s="1"/>
  <c r="BN17" i="21"/>
  <c r="BP17" i="21"/>
  <c r="L19" i="21"/>
  <c r="A20" i="21"/>
  <c r="B19" i="21"/>
  <c r="U19" i="21" s="1"/>
  <c r="BI19" i="21" s="1"/>
  <c r="X19" i="21"/>
  <c r="BO17" i="21"/>
  <c r="J17" i="21"/>
  <c r="BL17" i="21"/>
  <c r="A35" i="22" l="1"/>
  <c r="M34" i="22"/>
  <c r="E34" i="22"/>
  <c r="L34" i="22"/>
  <c r="K34" i="22"/>
  <c r="B34" i="22"/>
  <c r="U34" i="22" s="1"/>
  <c r="BI34" i="22" s="1"/>
  <c r="X34" i="22"/>
  <c r="BN32" i="22"/>
  <c r="BP32" i="22"/>
  <c r="BJ33" i="22"/>
  <c r="BM33" i="22"/>
  <c r="BK33" i="22"/>
  <c r="BQ31" i="22"/>
  <c r="BR31" i="22"/>
  <c r="BO32" i="22"/>
  <c r="BS32" i="22" s="1"/>
  <c r="O32" i="22" s="1"/>
  <c r="BL32" i="22"/>
  <c r="J32" i="22"/>
  <c r="BQ16" i="21"/>
  <c r="BP18" i="21"/>
  <c r="BR18" i="21" s="1"/>
  <c r="BS17" i="21"/>
  <c r="O17" i="21" s="1"/>
  <c r="J18" i="21"/>
  <c r="BO18" i="21"/>
  <c r="BJ19" i="21"/>
  <c r="BM19" i="21"/>
  <c r="BP19" i="21" s="1"/>
  <c r="BK19" i="21"/>
  <c r="BQ17" i="21"/>
  <c r="BR17" i="21"/>
  <c r="X20" i="21"/>
  <c r="M20" i="21"/>
  <c r="B20" i="21"/>
  <c r="U20" i="21" s="1"/>
  <c r="BI20" i="21" s="1"/>
  <c r="A21" i="21"/>
  <c r="L20" i="21"/>
  <c r="BO33" i="22" l="1"/>
  <c r="BS33" i="22" s="1"/>
  <c r="O33" i="22" s="1"/>
  <c r="BL33" i="22"/>
  <c r="J33" i="22"/>
  <c r="BJ34" i="22"/>
  <c r="BM34" i="22"/>
  <c r="BK34" i="22"/>
  <c r="BQ32" i="22"/>
  <c r="BR32" i="22"/>
  <c r="BN33" i="22"/>
  <c r="BP33" i="22"/>
  <c r="L35" i="22"/>
  <c r="X35" i="22"/>
  <c r="K35" i="22"/>
  <c r="E35" i="22"/>
  <c r="B35" i="22"/>
  <c r="U35" i="22" s="1"/>
  <c r="BI35" i="22" s="1"/>
  <c r="A36" i="22"/>
  <c r="M35" i="22"/>
  <c r="BQ18" i="21"/>
  <c r="BQ19" i="21"/>
  <c r="BR19" i="21"/>
  <c r="A22" i="21"/>
  <c r="B21" i="21"/>
  <c r="U21" i="21" s="1"/>
  <c r="BI21" i="21" s="1"/>
  <c r="M21" i="21"/>
  <c r="L21" i="21"/>
  <c r="X21" i="21"/>
  <c r="BN19" i="21"/>
  <c r="BO19" i="21"/>
  <c r="BS19" i="21" s="1"/>
  <c r="O19" i="21" s="1"/>
  <c r="BL19" i="21"/>
  <c r="J19" i="21"/>
  <c r="BJ20" i="21"/>
  <c r="BM20" i="21"/>
  <c r="BK20" i="21"/>
  <c r="BS18" i="21"/>
  <c r="O18" i="21" s="1"/>
  <c r="BJ35" i="22" l="1"/>
  <c r="BM35" i="22"/>
  <c r="BK35" i="22"/>
  <c r="BN34" i="22"/>
  <c r="BP34" i="22"/>
  <c r="BO34" i="22"/>
  <c r="BS34" i="22" s="1"/>
  <c r="O34" i="22" s="1"/>
  <c r="BL34" i="22"/>
  <c r="J34" i="22"/>
  <c r="BQ33" i="22"/>
  <c r="BR33" i="22"/>
  <c r="L36" i="22"/>
  <c r="B36" i="22"/>
  <c r="U36" i="22" s="1"/>
  <c r="BI36" i="22" s="1"/>
  <c r="E36" i="22"/>
  <c r="A37" i="22"/>
  <c r="K36" i="22"/>
  <c r="X36" i="22"/>
  <c r="M36" i="22"/>
  <c r="BJ21" i="21"/>
  <c r="BM21" i="21"/>
  <c r="BK21" i="21"/>
  <c r="BN20" i="21"/>
  <c r="BP20" i="21"/>
  <c r="A23" i="21"/>
  <c r="M22" i="21"/>
  <c r="X22" i="21"/>
  <c r="L22" i="21"/>
  <c r="B22" i="21"/>
  <c r="U22" i="21" s="1"/>
  <c r="BI22" i="21" s="1"/>
  <c r="BO20" i="21"/>
  <c r="J20" i="21"/>
  <c r="BL20" i="21"/>
  <c r="BN35" i="22" l="1"/>
  <c r="BP35" i="22"/>
  <c r="BJ36" i="22"/>
  <c r="BM36" i="22"/>
  <c r="BK36" i="22"/>
  <c r="L37" i="22"/>
  <c r="B37" i="22"/>
  <c r="U37" i="22" s="1"/>
  <c r="BI37" i="22" s="1"/>
  <c r="X37" i="22"/>
  <c r="K37" i="22"/>
  <c r="A38" i="22"/>
  <c r="M37" i="22"/>
  <c r="E37" i="22"/>
  <c r="BR34" i="22"/>
  <c r="BQ34" i="22"/>
  <c r="BO35" i="22"/>
  <c r="BS35" i="22" s="1"/>
  <c r="O35" i="22" s="1"/>
  <c r="BL35" i="22"/>
  <c r="J35" i="22"/>
  <c r="L23" i="21"/>
  <c r="B23" i="21"/>
  <c r="U23" i="21" s="1"/>
  <c r="BI23" i="21" s="1"/>
  <c r="M23" i="21"/>
  <c r="X23" i="21"/>
  <c r="A24" i="21"/>
  <c r="BN21" i="21"/>
  <c r="BP21" i="21"/>
  <c r="BO21" i="21"/>
  <c r="BS21" i="21" s="1"/>
  <c r="O21" i="21" s="1"/>
  <c r="J21" i="21"/>
  <c r="BL21" i="21"/>
  <c r="BJ22" i="21"/>
  <c r="BM22" i="21"/>
  <c r="BK22" i="21"/>
  <c r="BS20" i="21"/>
  <c r="O20" i="21" s="1"/>
  <c r="BR20" i="21"/>
  <c r="BQ20" i="21"/>
  <c r="BJ37" i="22" l="1"/>
  <c r="BM37" i="22"/>
  <c r="BK37" i="22"/>
  <c r="BQ35" i="22"/>
  <c r="BR35" i="22"/>
  <c r="L38" i="22"/>
  <c r="B38" i="22"/>
  <c r="U38" i="22" s="1"/>
  <c r="BI38" i="22" s="1"/>
  <c r="E38" i="22"/>
  <c r="X38" i="22"/>
  <c r="M38" i="22"/>
  <c r="K38" i="22"/>
  <c r="A39" i="22"/>
  <c r="BO36" i="22"/>
  <c r="BS36" i="22" s="1"/>
  <c r="O36" i="22" s="1"/>
  <c r="BL36" i="22"/>
  <c r="J36" i="22"/>
  <c r="BN36" i="22"/>
  <c r="BP36" i="22"/>
  <c r="BO22" i="21"/>
  <c r="BS22" i="21" s="1"/>
  <c r="O22" i="21" s="1"/>
  <c r="BL22" i="21"/>
  <c r="J22" i="21"/>
  <c r="BQ21" i="21"/>
  <c r="BR21" i="21"/>
  <c r="A25" i="21"/>
  <c r="X24" i="21"/>
  <c r="M24" i="21"/>
  <c r="B24" i="21"/>
  <c r="U24" i="21" s="1"/>
  <c r="BI24" i="21" s="1"/>
  <c r="L24" i="21"/>
  <c r="BJ23" i="21"/>
  <c r="BM23" i="21"/>
  <c r="BK23" i="21"/>
  <c r="BN22" i="21"/>
  <c r="BP22" i="21"/>
  <c r="BR36" i="22" l="1"/>
  <c r="BQ36" i="22"/>
  <c r="BJ38" i="22"/>
  <c r="BM38" i="22"/>
  <c r="BK38" i="22"/>
  <c r="L39" i="22"/>
  <c r="B39" i="22"/>
  <c r="U39" i="22" s="1"/>
  <c r="BI39" i="22" s="1"/>
  <c r="X39" i="22"/>
  <c r="K39" i="22"/>
  <c r="A40" i="22"/>
  <c r="M39" i="22"/>
  <c r="E39" i="22"/>
  <c r="BN37" i="22"/>
  <c r="BP37" i="22"/>
  <c r="BO37" i="22"/>
  <c r="BS37" i="22" s="1"/>
  <c r="O37" i="22" s="1"/>
  <c r="BL37" i="22"/>
  <c r="J37" i="22"/>
  <c r="BN23" i="21"/>
  <c r="X25" i="21"/>
  <c r="M25" i="21"/>
  <c r="B25" i="21"/>
  <c r="U25" i="21" s="1"/>
  <c r="BI25" i="21" s="1"/>
  <c r="L25" i="21"/>
  <c r="A26" i="21"/>
  <c r="BR22" i="21"/>
  <c r="BQ22" i="21"/>
  <c r="BO23" i="21"/>
  <c r="BS23" i="21" s="1"/>
  <c r="O23" i="21" s="1"/>
  <c r="BL23" i="21"/>
  <c r="J23" i="21"/>
  <c r="BJ24" i="21"/>
  <c r="BM24" i="21"/>
  <c r="BK24" i="21"/>
  <c r="BP23" i="21"/>
  <c r="BQ37" i="22" l="1"/>
  <c r="BR37" i="22"/>
  <c r="BN38" i="22"/>
  <c r="BP38" i="22"/>
  <c r="BJ39" i="22"/>
  <c r="BM39" i="22"/>
  <c r="BK39" i="22"/>
  <c r="BO38" i="22"/>
  <c r="BS38" i="22" s="1"/>
  <c r="O38" i="22" s="1"/>
  <c r="BL38" i="22"/>
  <c r="J38" i="22"/>
  <c r="L40" i="22"/>
  <c r="M41" i="22" s="1"/>
  <c r="B40" i="22"/>
  <c r="U40" i="22" s="1"/>
  <c r="BI40" i="22" s="1"/>
  <c r="E40" i="22"/>
  <c r="M40" i="22"/>
  <c r="K40" i="22"/>
  <c r="K41" i="22" s="1"/>
  <c r="X40" i="22"/>
  <c r="BO24" i="21"/>
  <c r="BS24" i="21" s="1"/>
  <c r="O24" i="21" s="1"/>
  <c r="BL24" i="21"/>
  <c r="J24" i="21"/>
  <c r="X26" i="21"/>
  <c r="M26" i="21"/>
  <c r="B26" i="21"/>
  <c r="U26" i="21" s="1"/>
  <c r="BI26" i="21" s="1"/>
  <c r="L26" i="21"/>
  <c r="A27" i="21"/>
  <c r="BR23" i="21"/>
  <c r="BQ23" i="21"/>
  <c r="BN24" i="21"/>
  <c r="BP24" i="21"/>
  <c r="BJ25" i="21"/>
  <c r="BM25" i="21"/>
  <c r="BK25" i="21"/>
  <c r="BO39" i="22" l="1"/>
  <c r="BS39" i="22" s="1"/>
  <c r="O39" i="22" s="1"/>
  <c r="BL39" i="22"/>
  <c r="J39" i="22"/>
  <c r="BJ40" i="22"/>
  <c r="BM40" i="22"/>
  <c r="BK40" i="22"/>
  <c r="BQ38" i="22"/>
  <c r="BR38" i="22"/>
  <c r="BN39" i="22"/>
  <c r="BP39" i="22"/>
  <c r="BN25" i="21"/>
  <c r="BP25" i="21"/>
  <c r="BJ26" i="21"/>
  <c r="BM26" i="21"/>
  <c r="BK26" i="21"/>
  <c r="BO25" i="21"/>
  <c r="BS25" i="21" s="1"/>
  <c r="O25" i="21" s="1"/>
  <c r="BL25" i="21"/>
  <c r="J25" i="21"/>
  <c r="BR24" i="21"/>
  <c r="BQ24" i="21"/>
  <c r="A28" i="21"/>
  <c r="X27" i="21"/>
  <c r="B27" i="21"/>
  <c r="U27" i="21" s="1"/>
  <c r="BI27" i="21" s="1"/>
  <c r="M27" i="21"/>
  <c r="L27" i="21"/>
  <c r="BO40" i="22" l="1"/>
  <c r="BS40" i="22" s="1"/>
  <c r="BL40" i="22"/>
  <c r="J40" i="22"/>
  <c r="J41" i="22" s="1"/>
  <c r="BQ39" i="22"/>
  <c r="BR39" i="22"/>
  <c r="BN40" i="22"/>
  <c r="BP40" i="22"/>
  <c r="BQ25" i="21"/>
  <c r="BR25" i="21"/>
  <c r="BN26" i="21"/>
  <c r="BP26" i="21"/>
  <c r="BJ27" i="21"/>
  <c r="BM27" i="21"/>
  <c r="BK27" i="21"/>
  <c r="L28" i="21"/>
  <c r="A29" i="21"/>
  <c r="B28" i="21"/>
  <c r="U28" i="21" s="1"/>
  <c r="BI28" i="21" s="1"/>
  <c r="M28" i="21"/>
  <c r="X28" i="21"/>
  <c r="BO26" i="21"/>
  <c r="BS26" i="21" s="1"/>
  <c r="O26" i="21" s="1"/>
  <c r="BL26" i="21"/>
  <c r="J26" i="21"/>
  <c r="BP41" i="22" l="1"/>
  <c r="BR40" i="22"/>
  <c r="BQ40" i="22"/>
  <c r="BS41" i="22"/>
  <c r="O41" i="22" s="1"/>
  <c r="O40" i="22"/>
  <c r="BN27" i="21"/>
  <c r="BP27" i="21"/>
  <c r="BJ28" i="21"/>
  <c r="BM28" i="21"/>
  <c r="BK28" i="21"/>
  <c r="BQ26" i="21"/>
  <c r="BR26" i="21"/>
  <c r="L29" i="21"/>
  <c r="B29" i="21"/>
  <c r="U29" i="21" s="1"/>
  <c r="BI29" i="21" s="1"/>
  <c r="A30" i="21"/>
  <c r="M29" i="21"/>
  <c r="E29" i="21"/>
  <c r="X29" i="21"/>
  <c r="BO27" i="21"/>
  <c r="BS27" i="21" s="1"/>
  <c r="O27" i="21" s="1"/>
  <c r="BL27" i="21"/>
  <c r="J27" i="21"/>
  <c r="BN28" i="21" l="1"/>
  <c r="BP28" i="21"/>
  <c r="BO28" i="21"/>
  <c r="BS28" i="21" s="1"/>
  <c r="O28" i="21" s="1"/>
  <c r="BL28" i="21"/>
  <c r="J28" i="21"/>
  <c r="L30" i="21"/>
  <c r="B30" i="21"/>
  <c r="U30" i="21" s="1"/>
  <c r="BI30" i="21" s="1"/>
  <c r="A31" i="21"/>
  <c r="M30" i="21"/>
  <c r="E30" i="21"/>
  <c r="X30" i="21"/>
  <c r="BR27" i="21"/>
  <c r="BQ27" i="21"/>
  <c r="BJ29" i="21"/>
  <c r="BM29" i="21"/>
  <c r="BK29" i="21"/>
  <c r="BR28" i="21" l="1"/>
  <c r="BQ28" i="21"/>
  <c r="BO29" i="21"/>
  <c r="BS29" i="21" s="1"/>
  <c r="O29" i="21" s="1"/>
  <c r="BL29" i="21"/>
  <c r="J29" i="21"/>
  <c r="L31" i="21"/>
  <c r="B31" i="21"/>
  <c r="U31" i="21" s="1"/>
  <c r="BI31" i="21" s="1"/>
  <c r="A32" i="21"/>
  <c r="X31" i="21"/>
  <c r="E31" i="21"/>
  <c r="M31" i="21"/>
  <c r="BJ30" i="21"/>
  <c r="BM30" i="21"/>
  <c r="BK30" i="21"/>
  <c r="BN29" i="21"/>
  <c r="BP29" i="21"/>
  <c r="L32" i="21" l="1"/>
  <c r="B32" i="21"/>
  <c r="U32" i="21" s="1"/>
  <c r="BI32" i="21" s="1"/>
  <c r="M32" i="21"/>
  <c r="A33" i="21"/>
  <c r="X32" i="21"/>
  <c r="E32" i="21"/>
  <c r="BN30" i="21"/>
  <c r="BP30" i="21"/>
  <c r="BJ31" i="21"/>
  <c r="BM31" i="21"/>
  <c r="BK31" i="21"/>
  <c r="BR29" i="21"/>
  <c r="BQ29" i="21"/>
  <c r="BO30" i="21"/>
  <c r="BS30" i="21" s="1"/>
  <c r="O30" i="21" s="1"/>
  <c r="BL30" i="21"/>
  <c r="J30" i="21"/>
  <c r="BO31" i="21" l="1"/>
  <c r="BS31" i="21" s="1"/>
  <c r="O31" i="21" s="1"/>
  <c r="BL31" i="21"/>
  <c r="J31" i="21"/>
  <c r="BJ32" i="21"/>
  <c r="BM32" i="21"/>
  <c r="BK32" i="21"/>
  <c r="BN31" i="21"/>
  <c r="BP31" i="21"/>
  <c r="BR30" i="21"/>
  <c r="BQ30" i="21"/>
  <c r="X33" i="21"/>
  <c r="M33" i="21"/>
  <c r="E33" i="21"/>
  <c r="L33" i="21"/>
  <c r="A34" i="21"/>
  <c r="B33" i="21"/>
  <c r="U33" i="21" s="1"/>
  <c r="BI33" i="21" s="1"/>
  <c r="X34" i="21" l="1"/>
  <c r="M34" i="21"/>
  <c r="E34" i="21"/>
  <c r="B34" i="21"/>
  <c r="U34" i="21" s="1"/>
  <c r="BI34" i="21" s="1"/>
  <c r="A35" i="21"/>
  <c r="K34" i="21"/>
  <c r="L34" i="21"/>
  <c r="BN32" i="21"/>
  <c r="BP32" i="21"/>
  <c r="BR31" i="21"/>
  <c r="BQ31" i="21"/>
  <c r="BO32" i="21"/>
  <c r="BS32" i="21" s="1"/>
  <c r="O32" i="21" s="1"/>
  <c r="BL32" i="21"/>
  <c r="J32" i="21"/>
  <c r="BJ33" i="21"/>
  <c r="BM33" i="21"/>
  <c r="BK33" i="21"/>
  <c r="BJ34" i="21" l="1"/>
  <c r="BM34" i="21"/>
  <c r="BK34" i="21"/>
  <c r="BR32" i="21"/>
  <c r="BQ32" i="21"/>
  <c r="A36" i="21"/>
  <c r="X35" i="21"/>
  <c r="M35" i="21"/>
  <c r="E35" i="21"/>
  <c r="L35" i="21"/>
  <c r="K35" i="21"/>
  <c r="B35" i="21"/>
  <c r="U35" i="21" s="1"/>
  <c r="BI35" i="21" s="1"/>
  <c r="BN33" i="21"/>
  <c r="BP33" i="21"/>
  <c r="BO33" i="21"/>
  <c r="BS33" i="21" s="1"/>
  <c r="O33" i="21" s="1"/>
  <c r="BL33" i="21"/>
  <c r="J33" i="21"/>
  <c r="BN34" i="21" l="1"/>
  <c r="BP34" i="21"/>
  <c r="BJ35" i="21"/>
  <c r="BM35" i="21"/>
  <c r="BK35" i="21"/>
  <c r="BQ33" i="21"/>
  <c r="BR33" i="21"/>
  <c r="X36" i="21"/>
  <c r="M36" i="21"/>
  <c r="E36" i="21"/>
  <c r="L36" i="21"/>
  <c r="B36" i="21"/>
  <c r="U36" i="21" s="1"/>
  <c r="BI36" i="21" s="1"/>
  <c r="A37" i="21"/>
  <c r="K36" i="21"/>
  <c r="BO34" i="21"/>
  <c r="BS34" i="21" s="1"/>
  <c r="O34" i="21" s="1"/>
  <c r="BL34" i="21"/>
  <c r="J34" i="21"/>
  <c r="BJ36" i="21" l="1"/>
  <c r="BM36" i="21"/>
  <c r="BK36" i="21"/>
  <c r="BN35" i="21"/>
  <c r="BP35" i="21"/>
  <c r="X37" i="21"/>
  <c r="M37" i="21"/>
  <c r="E37" i="21"/>
  <c r="L37" i="21"/>
  <c r="B37" i="21"/>
  <c r="U37" i="21" s="1"/>
  <c r="BI37" i="21" s="1"/>
  <c r="A38" i="21"/>
  <c r="K37" i="21"/>
  <c r="BO35" i="21"/>
  <c r="BS35" i="21" s="1"/>
  <c r="O35" i="21" s="1"/>
  <c r="BL35" i="21"/>
  <c r="J35" i="21"/>
  <c r="BQ34" i="21"/>
  <c r="BR34" i="21"/>
  <c r="BJ37" i="21" l="1"/>
  <c r="BM37" i="21"/>
  <c r="BK37" i="21"/>
  <c r="BN36" i="21"/>
  <c r="BP36" i="21"/>
  <c r="BR35" i="21"/>
  <c r="BQ35" i="21"/>
  <c r="BO36" i="21"/>
  <c r="BS36" i="21" s="1"/>
  <c r="O36" i="21" s="1"/>
  <c r="BL36" i="21"/>
  <c r="J36" i="21"/>
  <c r="X38" i="21"/>
  <c r="M38" i="21"/>
  <c r="E38" i="21"/>
  <c r="L38" i="21"/>
  <c r="B38" i="21"/>
  <c r="U38" i="21" s="1"/>
  <c r="BI38" i="21" s="1"/>
  <c r="A39" i="21"/>
  <c r="K38" i="21"/>
  <c r="BJ38" i="21" l="1"/>
  <c r="BM38" i="21"/>
  <c r="BK38" i="21"/>
  <c r="BN37" i="21"/>
  <c r="BP37" i="21"/>
  <c r="X39" i="21"/>
  <c r="M39" i="21"/>
  <c r="E39" i="21"/>
  <c r="L39" i="21"/>
  <c r="B39" i="21"/>
  <c r="U39" i="21" s="1"/>
  <c r="BI39" i="21" s="1"/>
  <c r="A40" i="21"/>
  <c r="K39" i="21"/>
  <c r="BQ36" i="21"/>
  <c r="BR36" i="21"/>
  <c r="BO37" i="21"/>
  <c r="BS37" i="21" s="1"/>
  <c r="O37" i="21" s="1"/>
  <c r="BL37" i="21"/>
  <c r="J37" i="21"/>
  <c r="X40" i="21" l="1"/>
  <c r="M40" i="21"/>
  <c r="E40" i="21"/>
  <c r="L40" i="21"/>
  <c r="M41" i="21" s="1"/>
  <c r="B40" i="21"/>
  <c r="U40" i="21" s="1"/>
  <c r="BI40" i="21" s="1"/>
  <c r="K40" i="21"/>
  <c r="K41" i="21" s="1"/>
  <c r="BJ39" i="21"/>
  <c r="BM39" i="21"/>
  <c r="BK39" i="21"/>
  <c r="BN38" i="21"/>
  <c r="BP38" i="21"/>
  <c r="BR37" i="21"/>
  <c r="BQ37" i="21"/>
  <c r="BO38" i="21"/>
  <c r="BS38" i="21" s="1"/>
  <c r="O38" i="21" s="1"/>
  <c r="BL38" i="21"/>
  <c r="J38" i="21"/>
  <c r="BN39" i="21" l="1"/>
  <c r="BP39" i="21"/>
  <c r="BR38" i="21"/>
  <c r="BQ38" i="21"/>
  <c r="BO39" i="21"/>
  <c r="BS39" i="21" s="1"/>
  <c r="O39" i="21" s="1"/>
  <c r="BL39" i="21"/>
  <c r="J39" i="21"/>
  <c r="BJ40" i="21"/>
  <c r="BM40" i="21"/>
  <c r="BK40" i="21"/>
  <c r="BN40" i="21" l="1"/>
  <c r="BP40" i="21"/>
  <c r="BO40" i="21"/>
  <c r="BS40" i="21" s="1"/>
  <c r="BL40" i="21"/>
  <c r="J40" i="21"/>
  <c r="J41" i="21" s="1"/>
  <c r="BR39" i="21"/>
  <c r="BQ39" i="21"/>
  <c r="BS41" i="21" l="1"/>
  <c r="O41" i="21" s="1"/>
  <c r="O40" i="21"/>
  <c r="BP41" i="21"/>
  <c r="BR40" i="21"/>
  <c r="BQ40" i="21"/>
  <c r="S141" i="20" l="1"/>
  <c r="U141" i="20" s="1"/>
  <c r="D105" i="20"/>
  <c r="D104" i="20"/>
  <c r="L103" i="20"/>
  <c r="P101" i="20"/>
  <c r="P100" i="20"/>
  <c r="P99" i="20"/>
  <c r="P98" i="20"/>
  <c r="P97" i="20"/>
  <c r="B96" i="20"/>
  <c r="T94" i="20"/>
  <c r="S93" i="20"/>
  <c r="U93" i="20" s="1"/>
  <c r="D57" i="20"/>
  <c r="D56" i="20"/>
  <c r="L55" i="20"/>
  <c r="P53" i="20"/>
  <c r="P52" i="20"/>
  <c r="P51" i="20"/>
  <c r="P50" i="20"/>
  <c r="P49" i="20"/>
  <c r="U30" i="20"/>
  <c r="L43" i="19"/>
  <c r="S9" i="20" l="1"/>
  <c r="AG37" i="20"/>
  <c r="AG35" i="20"/>
  <c r="S29" i="20"/>
  <c r="S30" i="20" s="1"/>
  <c r="D103" i="20"/>
  <c r="A94" i="20"/>
  <c r="A142" i="20"/>
  <c r="A46" i="20"/>
  <c r="D55" i="20"/>
  <c r="M90" i="15"/>
  <c r="M91" i="15"/>
  <c r="M92" i="15"/>
  <c r="M93" i="15"/>
  <c r="M94" i="15"/>
  <c r="M95" i="15"/>
  <c r="M96" i="15"/>
  <c r="L160" i="15"/>
  <c r="M160" i="15" s="1"/>
  <c r="M173" i="15"/>
  <c r="M174" i="15"/>
  <c r="C15" i="11"/>
  <c r="F15" i="11" s="1"/>
  <c r="E41" i="12"/>
  <c r="M41" i="12"/>
  <c r="K41" i="12"/>
  <c r="J41" i="12"/>
  <c r="I41" i="12"/>
  <c r="H41" i="12"/>
  <c r="C10" i="12"/>
  <c r="C11" i="12" s="1"/>
  <c r="M12" i="12"/>
  <c r="M13" i="12"/>
  <c r="M14" i="12"/>
  <c r="M15" i="12"/>
  <c r="M16" i="12"/>
  <c r="M17" i="12"/>
  <c r="M18" i="12"/>
  <c r="M19" i="12"/>
  <c r="M20" i="12"/>
  <c r="M21" i="12"/>
  <c r="M22" i="12"/>
  <c r="M23" i="12"/>
  <c r="M24" i="12"/>
  <c r="M25" i="12"/>
  <c r="M26" i="12"/>
  <c r="M27" i="12"/>
  <c r="M28" i="12"/>
  <c r="M11" i="12"/>
  <c r="M10" i="12"/>
  <c r="T10" i="12" l="1"/>
  <c r="S55" i="20"/>
  <c r="S103" i="20"/>
  <c r="N10" i="12"/>
  <c r="T11" i="12"/>
  <c r="N11" i="12" s="1"/>
  <c r="C12" i="12"/>
  <c r="T12" i="12" l="1"/>
  <c r="C13" i="12"/>
  <c r="N12" i="12" l="1"/>
  <c r="C14" i="12"/>
  <c r="T13" i="12"/>
  <c r="N13" i="12" s="1"/>
  <c r="T14" i="12" l="1"/>
  <c r="C15" i="12"/>
  <c r="N14" i="12"/>
  <c r="T15" i="12" l="1"/>
  <c r="C16" i="12"/>
  <c r="N15" i="12"/>
  <c r="T16" i="12" l="1"/>
  <c r="C17" i="12"/>
  <c r="N16" i="12" l="1"/>
  <c r="T17" i="12"/>
  <c r="N17" i="12" s="1"/>
  <c r="C18" i="12"/>
  <c r="T18" i="12" l="1"/>
  <c r="C19" i="12"/>
  <c r="N18" i="12" l="1"/>
  <c r="C20" i="12"/>
  <c r="T19" i="12"/>
  <c r="N19" i="12" s="1"/>
  <c r="C21" i="12" l="1"/>
  <c r="T20" i="12"/>
  <c r="N20" i="12" s="1"/>
  <c r="T21" i="12" l="1"/>
  <c r="N21" i="12" s="1"/>
  <c r="C22" i="12"/>
  <c r="T22" i="12" l="1"/>
  <c r="N22" i="12" s="1"/>
  <c r="C23" i="12"/>
  <c r="T23" i="12" l="1"/>
  <c r="N23" i="12" s="1"/>
  <c r="C24" i="12"/>
  <c r="T24" i="12" l="1"/>
  <c r="N24" i="12" s="1"/>
  <c r="C25" i="12"/>
  <c r="C26" i="12" l="1"/>
  <c r="T25" i="12"/>
  <c r="N25" i="12" s="1"/>
  <c r="T26" i="12" l="1"/>
  <c r="N26" i="12" s="1"/>
  <c r="C27" i="12"/>
  <c r="T27" i="12" l="1"/>
  <c r="N27" i="12" s="1"/>
  <c r="C28" i="12"/>
  <c r="C29" i="12" l="1"/>
  <c r="T28" i="12"/>
  <c r="N28" i="12" s="1"/>
  <c r="C30" i="12" l="1"/>
  <c r="T29" i="12"/>
  <c r="N29" i="12" s="1"/>
  <c r="M29" i="12"/>
  <c r="C31" i="12" l="1"/>
  <c r="M30" i="12"/>
  <c r="T30" i="12"/>
  <c r="N30" i="12" s="1"/>
  <c r="C32" i="12" l="1"/>
  <c r="M31" i="12"/>
  <c r="T31" i="12"/>
  <c r="N31" i="12" s="1"/>
  <c r="C33" i="12" l="1"/>
  <c r="M32" i="12"/>
  <c r="T32" i="12"/>
  <c r="N32" i="12" s="1"/>
  <c r="C34" i="12" l="1"/>
  <c r="M33" i="12"/>
  <c r="T33" i="12"/>
  <c r="N33" i="12" s="1"/>
  <c r="M34" i="12" l="1"/>
  <c r="C35" i="12"/>
  <c r="T34" i="12"/>
  <c r="N34" i="12" s="1"/>
  <c r="T35" i="12" l="1"/>
  <c r="N35" i="12" s="1"/>
  <c r="M35" i="12"/>
  <c r="C36" i="12"/>
  <c r="T36" i="12" l="1"/>
  <c r="N36" i="12" s="1"/>
  <c r="M36" i="12"/>
  <c r="C37" i="12"/>
  <c r="T37" i="12" l="1"/>
  <c r="N37" i="12" s="1"/>
  <c r="C38" i="12"/>
  <c r="M37" i="12"/>
  <c r="T38" i="12" l="1"/>
  <c r="N38" i="12" s="1"/>
  <c r="C39" i="12"/>
  <c r="M38" i="12"/>
  <c r="M39" i="12" l="1"/>
  <c r="T39" i="12"/>
  <c r="N39" i="12" s="1"/>
  <c r="C40" i="12"/>
  <c r="T40" i="12" l="1"/>
  <c r="N40" i="12" s="1"/>
  <c r="M40" i="12"/>
  <c r="N41" i="12" l="1"/>
  <c r="AA33" i="20" l="1"/>
  <c r="S38" i="20" l="1"/>
  <c r="S39" i="20" l="1"/>
  <c r="S41" i="2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Tara</author>
    <author>*</author>
    <author>misawa</author>
  </authors>
  <commentList>
    <comment ref="K83" authorId="0" shapeId="0" xr:uid="{00000000-0006-0000-0000-000001000000}">
      <text>
        <r>
          <rPr>
            <b/>
            <sz val="9"/>
            <color indexed="81"/>
            <rFont val="ＭＳ Ｐゴシック"/>
            <family val="3"/>
            <charset val="128"/>
          </rPr>
          <t>部所コードなど:</t>
        </r>
        <r>
          <rPr>
            <sz val="9"/>
            <color indexed="81"/>
            <rFont val="ＭＳ Ｐゴシック"/>
            <family val="3"/>
            <charset val="128"/>
          </rPr>
          <t xml:space="preserve">
メニュー画面で入力した内容が表示</t>
        </r>
      </text>
    </comment>
    <comment ref="I90" authorId="1" shapeId="0" xr:uid="{00000000-0006-0000-0000-000002000000}">
      <text>
        <r>
          <rPr>
            <b/>
            <sz val="9"/>
            <color indexed="81"/>
            <rFont val="ＭＳ Ｐゴシック"/>
            <family val="3"/>
            <charset val="128"/>
          </rPr>
          <t>休憩補正:</t>
        </r>
        <r>
          <rPr>
            <sz val="9"/>
            <color indexed="81"/>
            <rFont val="ＭＳ Ｐゴシック"/>
            <family val="3"/>
            <charset val="128"/>
          </rPr>
          <t xml:space="preserve">
休憩時間に作業を行った場合、合計時間数を入力</t>
        </r>
      </text>
    </comment>
    <comment ref="L90" authorId="1" shapeId="0" xr:uid="{00000000-0006-0000-0000-000003000000}">
      <text>
        <r>
          <rPr>
            <b/>
            <sz val="9"/>
            <color indexed="81"/>
            <rFont val="ＭＳ Ｐゴシック"/>
            <family val="3"/>
            <charset val="128"/>
          </rPr>
          <t>実作業:</t>
        </r>
        <r>
          <rPr>
            <sz val="9"/>
            <color indexed="81"/>
            <rFont val="ＭＳ Ｐゴシック"/>
            <family val="3"/>
            <charset val="128"/>
          </rPr>
          <t xml:space="preserve">
作業開始から作業終了までの時間数を表示</t>
        </r>
      </text>
    </comment>
    <comment ref="M90" authorId="0" shapeId="0" xr:uid="{00000000-0006-0000-0000-000004000000}">
      <text>
        <r>
          <rPr>
            <b/>
            <sz val="9"/>
            <color indexed="81"/>
            <rFont val="ＭＳ Ｐゴシック"/>
            <family val="3"/>
            <charset val="128"/>
          </rPr>
          <t>実作業時間累計:</t>
        </r>
        <r>
          <rPr>
            <sz val="9"/>
            <color indexed="81"/>
            <rFont val="ＭＳ Ｐゴシック"/>
            <family val="3"/>
            <charset val="128"/>
          </rPr>
          <t xml:space="preserve">
実作業時間の累計を表示</t>
        </r>
      </text>
    </comment>
    <comment ref="G96" authorId="1" shapeId="0" xr:uid="{00000000-0006-0000-0000-000005000000}">
      <text>
        <r>
          <rPr>
            <b/>
            <sz val="9"/>
            <color indexed="81"/>
            <rFont val="ＭＳ Ｐゴシック"/>
            <family val="3"/>
            <charset val="128"/>
          </rPr>
          <t>実行時間:</t>
        </r>
        <r>
          <rPr>
            <sz val="9"/>
            <color indexed="81"/>
            <rFont val="ＭＳ Ｐゴシック"/>
            <family val="3"/>
            <charset val="128"/>
          </rPr>
          <t xml:space="preserve">
9：00、18：00など、60進法で入力
夜中の12時以降の時間を入力する場合には、25:00、31:00のように入力</t>
        </r>
      </text>
    </comment>
    <comment ref="H96" authorId="1" shapeId="0" xr:uid="{00000000-0006-0000-0000-000006000000}">
      <text>
        <r>
          <rPr>
            <b/>
            <sz val="9"/>
            <color indexed="81"/>
            <rFont val="ＭＳ Ｐゴシック"/>
            <family val="3"/>
            <charset val="128"/>
          </rPr>
          <t>休暇:</t>
        </r>
        <r>
          <rPr>
            <sz val="9"/>
            <color indexed="81"/>
            <rFont val="ＭＳ Ｐゴシック"/>
            <family val="3"/>
            <charset val="128"/>
          </rPr>
          <t xml:space="preserve">
休暇を取得した場合に選択</t>
        </r>
      </text>
    </comment>
    <comment ref="K96" authorId="1" shapeId="0" xr:uid="{00000000-0006-0000-0000-000007000000}">
      <text>
        <r>
          <rPr>
            <b/>
            <sz val="9"/>
            <color indexed="81"/>
            <rFont val="ＭＳ Ｐゴシック"/>
            <family val="3"/>
            <charset val="128"/>
          </rPr>
          <t>私用外出:</t>
        </r>
        <r>
          <rPr>
            <sz val="9"/>
            <color indexed="81"/>
            <rFont val="ＭＳ Ｐゴシック"/>
            <family val="3"/>
            <charset val="128"/>
          </rPr>
          <t xml:space="preserve">
作業時間中に私用で外出等した合計時間数を入力</t>
        </r>
      </text>
    </comment>
    <comment ref="I160" authorId="1" shapeId="0" xr:uid="{00000000-0006-0000-0000-000008000000}">
      <text>
        <r>
          <rPr>
            <b/>
            <sz val="9"/>
            <color indexed="8"/>
            <rFont val="ＭＳ Ｐゴシック"/>
            <family val="3"/>
            <charset val="128"/>
          </rPr>
          <t>青字の部分を入力し、明細書を作成</t>
        </r>
      </text>
    </comment>
    <comment ref="L165" authorId="2" shapeId="0" xr:uid="{00000000-0006-0000-0000-000009000000}">
      <text>
        <r>
          <rPr>
            <b/>
            <sz val="9"/>
            <color indexed="81"/>
            <rFont val="ＭＳ Ｐゴシック"/>
            <family val="3"/>
            <charset val="128"/>
          </rPr>
          <t xml:space="preserve">5%仮払消費税：平成26年3月31日以前に発生した経費
8%仮払消費税：平成26年4月1日以降に発生した経費
計算対象外：海外航空運賃、海外交通費／宿泊費等
非課税：保険料、切手、商品券等の購入で使用する場合
</t>
        </r>
      </text>
    </comment>
    <comment ref="M173" authorId="1" shapeId="0" xr:uid="{00000000-0006-0000-0000-00000A000000}">
      <text>
        <r>
          <rPr>
            <b/>
            <sz val="9"/>
            <color indexed="8"/>
            <rFont val="ＭＳ Ｐゴシック"/>
            <family val="3"/>
            <charset val="128"/>
          </rPr>
          <t>別紙明細の合計:</t>
        </r>
        <r>
          <rPr>
            <sz val="9"/>
            <color indexed="8"/>
            <rFont val="ＭＳ Ｐゴシック"/>
            <family val="3"/>
            <charset val="128"/>
          </rPr>
          <t xml:space="preserve">
2枚目以降（別紙明細）の合計</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misawa</author>
  </authors>
  <commentList>
    <comment ref="L9" authorId="0" shapeId="0" xr:uid="{00000000-0006-0000-0500-000001000000}">
      <text>
        <r>
          <rPr>
            <b/>
            <sz val="9"/>
            <color indexed="81"/>
            <rFont val="ＭＳ Ｐゴシック"/>
            <family val="3"/>
            <charset val="128"/>
          </rPr>
          <t xml:space="preserve">10%仮払消費税：2019年10月1日以降に発生した経費
計算対象外：海外航空運賃、海外交通費／宿泊費等
非課税：保険料、切手、商品券等の購入で使用する場合
赤くなったセルは、修正してください。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misawa</author>
  </authors>
  <commentList>
    <comment ref="S14" authorId="0" shapeId="0" xr:uid="{00000000-0006-0000-0600-000001000000}">
      <text>
        <r>
          <rPr>
            <b/>
            <sz val="9"/>
            <color indexed="81"/>
            <rFont val="ＭＳ Ｐゴシック"/>
            <family val="3"/>
            <charset val="128"/>
          </rPr>
          <t xml:space="preserve">8%仮払消費税：2019年9月31日以前に発生した経費、日当
10%仮払消費税：2019年10月1日以降に発生した経費、日当
計算対象外：海外航空運賃、海外交通費／宿泊費等
非課税：保険料、切手、商品券等の購入で使用する場合
</t>
        </r>
      </text>
    </comment>
    <comment ref="S32" authorId="0" shapeId="0" xr:uid="{00000000-0006-0000-0600-000002000000}">
      <text>
        <r>
          <rPr>
            <b/>
            <sz val="9"/>
            <color indexed="81"/>
            <rFont val="ＭＳ Ｐゴシック"/>
            <family val="3"/>
            <charset val="128"/>
          </rPr>
          <t xml:space="preserve">8%仮払消費税：2019年9月31日以前に発生した経費、日当
10%仮払消費税：2019年10月1日以降に発生した経費、日当
計算対象外：海外航空運賃、海外交通費／宿泊費等
非課税：保険料、切手、商品券等の購入で使用する場合
</t>
        </r>
      </text>
    </comment>
    <comment ref="C33" authorId="0" shapeId="0" xr:uid="{00000000-0006-0000-0600-000003000000}">
      <text>
        <r>
          <rPr>
            <sz val="9"/>
            <color indexed="81"/>
            <rFont val="ＭＳ Ｐゴシック"/>
            <family val="3"/>
            <charset val="128"/>
          </rPr>
          <t>税区分が異なる宿泊が発生した場合は、その他の欄を使用して、分けて入力して下さい。</t>
        </r>
      </text>
    </comment>
    <comment ref="S60" authorId="0" shapeId="0" xr:uid="{00000000-0006-0000-0600-000004000000}">
      <text>
        <r>
          <rPr>
            <b/>
            <sz val="9"/>
            <color indexed="81"/>
            <rFont val="ＭＳ Ｐゴシック"/>
            <family val="3"/>
            <charset val="128"/>
          </rPr>
          <t>8%仮払消費税：2019年9月31日以前に発生した経費、日当
10%仮払消費税：2019年10月1日以降に発生した経費、日当
計算対象外：海外航空運賃、海外交通費／宿泊費等
非課税：保険料、切手、商品券等の購入で使用する場合</t>
        </r>
      </text>
    </comment>
    <comment ref="S108" authorId="0" shapeId="0" xr:uid="{00000000-0006-0000-0600-000005000000}">
      <text>
        <r>
          <rPr>
            <b/>
            <sz val="9"/>
            <color indexed="81"/>
            <rFont val="ＭＳ Ｐゴシック"/>
            <family val="3"/>
            <charset val="128"/>
          </rPr>
          <t xml:space="preserve">8%仮払消費税：2019年9月31日以前に発生した経費、日当
10%仮払消費税：2019年10月1日以降に発生した経費、日当
計算対象外：海外航空運賃、海外交通費／宿泊費等
非課税：保険料、切手、商品券等の購入で使用する場合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
  </authors>
  <commentList>
    <comment ref="B1" authorId="0" shapeId="0" xr:uid="{00000000-0006-0000-0700-000001000000}">
      <text>
        <r>
          <rPr>
            <b/>
            <sz val="9"/>
            <color indexed="81"/>
            <rFont val="ＭＳ Ｐゴシック"/>
            <family val="3"/>
            <charset val="128"/>
          </rPr>
          <t>年間休日カレンダー:</t>
        </r>
        <r>
          <rPr>
            <sz val="9"/>
            <color indexed="81"/>
            <rFont val="ＭＳ Ｐゴシック"/>
            <family val="3"/>
            <charset val="128"/>
          </rPr>
          <t xml:space="preserve">
会社特有の休日を指定します。</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uthor>
  </authors>
  <commentList>
    <comment ref="B6" authorId="0" shapeId="0" xr:uid="{00000000-0006-0000-0900-000001000000}">
      <text>
        <r>
          <rPr>
            <b/>
            <sz val="9"/>
            <color indexed="81"/>
            <rFont val="ＭＳ Ｐゴシック"/>
            <family val="3"/>
            <charset val="128"/>
          </rPr>
          <t>基準労働時間:</t>
        </r>
        <r>
          <rPr>
            <sz val="9"/>
            <color indexed="81"/>
            <rFont val="ＭＳ Ｐゴシック"/>
            <family val="3"/>
            <charset val="128"/>
          </rPr>
          <t xml:space="preserve">
1日の基準となる労働時間</t>
        </r>
      </text>
    </comment>
    <comment ref="B8" authorId="0" shapeId="0" xr:uid="{00000000-0006-0000-0900-000002000000}">
      <text>
        <r>
          <rPr>
            <b/>
            <sz val="9"/>
            <color indexed="81"/>
            <rFont val="ＭＳ Ｐゴシック"/>
            <family val="3"/>
            <charset val="128"/>
          </rPr>
          <t>１日の計算始め:</t>
        </r>
        <r>
          <rPr>
            <sz val="9"/>
            <color indexed="81"/>
            <rFont val="ＭＳ Ｐゴシック"/>
            <family val="3"/>
            <charset val="128"/>
          </rPr>
          <t xml:space="preserve">
1日でこの時間から作業と認める時間</t>
        </r>
      </text>
    </comment>
    <comment ref="B13" authorId="0" shapeId="0" xr:uid="{00000000-0006-0000-0900-000003000000}">
      <text>
        <r>
          <rPr>
            <b/>
            <sz val="9"/>
            <color indexed="81"/>
            <rFont val="ＭＳ Ｐゴシック"/>
            <family val="3"/>
            <charset val="128"/>
          </rPr>
          <t>時刻単位（日）:</t>
        </r>
        <r>
          <rPr>
            <sz val="9"/>
            <color indexed="81"/>
            <rFont val="ＭＳ Ｐゴシック"/>
            <family val="3"/>
            <charset val="128"/>
          </rPr>
          <t xml:space="preserve">
始業、終業時間でこの時間以内は、カットする。</t>
        </r>
      </text>
    </comment>
    <comment ref="B14" authorId="0" shapeId="0" xr:uid="{00000000-0006-0000-0900-000004000000}">
      <text>
        <r>
          <rPr>
            <b/>
            <sz val="9"/>
            <color indexed="81"/>
            <rFont val="ＭＳ Ｐゴシック"/>
            <family val="3"/>
            <charset val="128"/>
          </rPr>
          <t xml:space="preserve">時間単位（日）:
</t>
        </r>
        <r>
          <rPr>
            <sz val="9"/>
            <color indexed="81"/>
            <rFont val="ＭＳ Ｐゴシック"/>
            <family val="3"/>
            <charset val="128"/>
          </rPr>
          <t>1日の労働時間でこの時間以内は、カットする。</t>
        </r>
      </text>
    </comment>
    <comment ref="B15" authorId="0" shapeId="0" xr:uid="{00000000-0006-0000-0900-000005000000}">
      <text>
        <r>
          <rPr>
            <b/>
            <sz val="9"/>
            <color indexed="81"/>
            <rFont val="ＭＳ Ｐゴシック"/>
            <family val="3"/>
            <charset val="128"/>
          </rPr>
          <t>時間単位（月）:</t>
        </r>
        <r>
          <rPr>
            <sz val="9"/>
            <color indexed="81"/>
            <rFont val="ＭＳ Ｐゴシック"/>
            <family val="3"/>
            <charset val="128"/>
          </rPr>
          <t xml:space="preserve">
1ヶ月の合計をこの時間以下は、カットする。</t>
        </r>
      </text>
    </comment>
    <comment ref="B17" authorId="0" shapeId="0" xr:uid="{00000000-0006-0000-0900-000006000000}">
      <text>
        <r>
          <rPr>
            <b/>
            <sz val="9"/>
            <color indexed="81"/>
            <rFont val="ＭＳ Ｐゴシック"/>
            <family val="3"/>
            <charset val="128"/>
          </rPr>
          <t>昼休憩:</t>
        </r>
        <r>
          <rPr>
            <sz val="9"/>
            <color indexed="81"/>
            <rFont val="ＭＳ Ｐゴシック"/>
            <family val="3"/>
            <charset val="128"/>
          </rPr>
          <t xml:space="preserve">
お昼休憩時間を入力ください</t>
        </r>
      </text>
    </comment>
    <comment ref="B19" authorId="0" shapeId="0" xr:uid="{00000000-0006-0000-0900-000007000000}">
      <text>
        <r>
          <rPr>
            <b/>
            <sz val="9"/>
            <color indexed="81"/>
            <rFont val="ＭＳ Ｐゴシック"/>
            <family val="3"/>
            <charset val="128"/>
          </rPr>
          <t>休憩２:</t>
        </r>
        <r>
          <rPr>
            <sz val="9"/>
            <color indexed="81"/>
            <rFont val="ＭＳ Ｐゴシック"/>
            <family val="3"/>
            <charset val="128"/>
          </rPr>
          <t xml:space="preserve">
定時後の休憩を入力ください。</t>
        </r>
      </text>
    </comment>
  </commentList>
</comments>
</file>

<file path=xl/sharedStrings.xml><?xml version="1.0" encoding="utf-8"?>
<sst xmlns="http://schemas.openxmlformats.org/spreadsheetml/2006/main" count="1178" uniqueCount="653">
  <si>
    <t>印</t>
    <phoneticPr fontId="24"/>
  </si>
  <si>
    <t>～</t>
    <phoneticPr fontId="24"/>
  </si>
  <si>
    <t>部所コード：</t>
    <rPh sb="0" eb="2">
      <t>ブショ</t>
    </rPh>
    <phoneticPr fontId="24"/>
  </si>
  <si>
    <t>部所名：</t>
    <rPh sb="0" eb="2">
      <t>ブショ</t>
    </rPh>
    <rPh sb="2" eb="3">
      <t>メイ</t>
    </rPh>
    <phoneticPr fontId="24"/>
  </si>
  <si>
    <t>会社名：</t>
    <rPh sb="0" eb="2">
      <t>カイシャ</t>
    </rPh>
    <rPh sb="2" eb="3">
      <t>メイ</t>
    </rPh>
    <phoneticPr fontId="24"/>
  </si>
  <si>
    <t>登録番号：</t>
    <rPh sb="0" eb="2">
      <t>トウロク</t>
    </rPh>
    <rPh sb="2" eb="4">
      <t>バンゴウ</t>
    </rPh>
    <phoneticPr fontId="24"/>
  </si>
  <si>
    <t>会社名</t>
    <rPh sb="0" eb="3">
      <t>カイシャメイ</t>
    </rPh>
    <phoneticPr fontId="24"/>
  </si>
  <si>
    <t>基準労働時間</t>
    <rPh sb="0" eb="2">
      <t>キジュン</t>
    </rPh>
    <rPh sb="2" eb="6">
      <t>ロウドウジカン</t>
    </rPh>
    <phoneticPr fontId="24"/>
  </si>
  <si>
    <t>１日の計算始め</t>
    <rPh sb="1" eb="2">
      <t>ニチ</t>
    </rPh>
    <rPh sb="3" eb="5">
      <t>ケイサン</t>
    </rPh>
    <rPh sb="5" eb="6">
      <t>ハジ</t>
    </rPh>
    <phoneticPr fontId="24"/>
  </si>
  <si>
    <t>始業時間</t>
    <rPh sb="0" eb="2">
      <t>シギョウ</t>
    </rPh>
    <rPh sb="2" eb="4">
      <t>ジカン</t>
    </rPh>
    <phoneticPr fontId="24"/>
  </si>
  <si>
    <t>終業時間
（定時）</t>
    <rPh sb="0" eb="2">
      <t>シュウギョウ</t>
    </rPh>
    <rPh sb="2" eb="4">
      <t>ジカン</t>
    </rPh>
    <rPh sb="6" eb="8">
      <t>テイジ</t>
    </rPh>
    <phoneticPr fontId="24"/>
  </si>
  <si>
    <t>時刻単位（日）</t>
    <rPh sb="0" eb="2">
      <t>ジコク</t>
    </rPh>
    <rPh sb="2" eb="4">
      <t>タンイ</t>
    </rPh>
    <rPh sb="5" eb="6">
      <t>ニチ</t>
    </rPh>
    <phoneticPr fontId="24"/>
  </si>
  <si>
    <t>時間単位（日）</t>
    <rPh sb="0" eb="2">
      <t>ジカン</t>
    </rPh>
    <rPh sb="2" eb="4">
      <t>タンイ</t>
    </rPh>
    <rPh sb="5" eb="6">
      <t>ニチ</t>
    </rPh>
    <phoneticPr fontId="24"/>
  </si>
  <si>
    <t>時間単位（月）</t>
    <rPh sb="0" eb="2">
      <t>ジカン</t>
    </rPh>
    <rPh sb="2" eb="4">
      <t>タンイ</t>
    </rPh>
    <rPh sb="5" eb="6">
      <t>ツキ</t>
    </rPh>
    <phoneticPr fontId="24"/>
  </si>
  <si>
    <t>休憩１始</t>
    <rPh sb="0" eb="2">
      <t>キュウケイ</t>
    </rPh>
    <rPh sb="3" eb="4">
      <t>ハジ</t>
    </rPh>
    <phoneticPr fontId="24"/>
  </si>
  <si>
    <t>休憩１終</t>
    <rPh sb="0" eb="2">
      <t>キュウケイ</t>
    </rPh>
    <rPh sb="3" eb="4">
      <t>オ</t>
    </rPh>
    <phoneticPr fontId="24"/>
  </si>
  <si>
    <t>休憩２始</t>
    <rPh sb="0" eb="2">
      <t>キュウケイ</t>
    </rPh>
    <rPh sb="3" eb="4">
      <t>ハジ</t>
    </rPh>
    <phoneticPr fontId="24"/>
  </si>
  <si>
    <t>休憩２終</t>
    <rPh sb="0" eb="2">
      <t>キュウケイ</t>
    </rPh>
    <rPh sb="3" eb="4">
      <t>オ</t>
    </rPh>
    <phoneticPr fontId="24"/>
  </si>
  <si>
    <t>休憩３始</t>
    <rPh sb="0" eb="2">
      <t>キュウケイ</t>
    </rPh>
    <rPh sb="3" eb="4">
      <t>ハジ</t>
    </rPh>
    <phoneticPr fontId="24"/>
  </si>
  <si>
    <t>休憩３終</t>
    <rPh sb="0" eb="2">
      <t>キュウケイ</t>
    </rPh>
    <rPh sb="3" eb="4">
      <t>オ</t>
    </rPh>
    <phoneticPr fontId="24"/>
  </si>
  <si>
    <t>休憩４始</t>
    <rPh sb="0" eb="2">
      <t>キュウケイ</t>
    </rPh>
    <rPh sb="3" eb="4">
      <t>ハジ</t>
    </rPh>
    <phoneticPr fontId="24"/>
  </si>
  <si>
    <t>休憩４終</t>
    <rPh sb="0" eb="2">
      <t>キュウケイ</t>
    </rPh>
    <rPh sb="3" eb="4">
      <t>オ</t>
    </rPh>
    <phoneticPr fontId="24"/>
  </si>
  <si>
    <t>休憩５始</t>
    <rPh sb="0" eb="2">
      <t>キュウケイ</t>
    </rPh>
    <rPh sb="3" eb="4">
      <t>ハジ</t>
    </rPh>
    <phoneticPr fontId="24"/>
  </si>
  <si>
    <t>休憩５終</t>
    <rPh sb="0" eb="2">
      <t>キュウケイ</t>
    </rPh>
    <rPh sb="3" eb="4">
      <t>オ</t>
    </rPh>
    <phoneticPr fontId="24"/>
  </si>
  <si>
    <t>休憩６始</t>
    <rPh sb="0" eb="2">
      <t>キュウケイ</t>
    </rPh>
    <rPh sb="3" eb="4">
      <t>ハジ</t>
    </rPh>
    <phoneticPr fontId="24"/>
  </si>
  <si>
    <t>休憩６終</t>
    <rPh sb="0" eb="2">
      <t>キュウケイ</t>
    </rPh>
    <rPh sb="3" eb="4">
      <t>オ</t>
    </rPh>
    <phoneticPr fontId="24"/>
  </si>
  <si>
    <t>休憩７始</t>
    <rPh sb="0" eb="2">
      <t>キュウケイ</t>
    </rPh>
    <rPh sb="3" eb="4">
      <t>ハジ</t>
    </rPh>
    <phoneticPr fontId="24"/>
  </si>
  <si>
    <t>休憩７終</t>
    <rPh sb="0" eb="2">
      <t>キュウケイ</t>
    </rPh>
    <rPh sb="3" eb="4">
      <t>オ</t>
    </rPh>
    <phoneticPr fontId="24"/>
  </si>
  <si>
    <t>富士ソフト勤怠</t>
    <rPh sb="0" eb="2">
      <t>フジ</t>
    </rPh>
    <rPh sb="5" eb="7">
      <t>キンタイ</t>
    </rPh>
    <phoneticPr fontId="24"/>
  </si>
  <si>
    <t>年間休日カレンダー</t>
    <rPh sb="0" eb="2">
      <t>ネンカン</t>
    </rPh>
    <rPh sb="2" eb="4">
      <t>キュウジツ</t>
    </rPh>
    <phoneticPr fontId="24"/>
  </si>
  <si>
    <t>この日何の日、気になる日</t>
    <rPh sb="2" eb="3">
      <t>ヒ</t>
    </rPh>
    <rPh sb="3" eb="4">
      <t>ナン</t>
    </rPh>
    <rPh sb="5" eb="6">
      <t>ヒ</t>
    </rPh>
    <rPh sb="7" eb="8">
      <t>キ</t>
    </rPh>
    <rPh sb="11" eb="12">
      <t>ヒ</t>
    </rPh>
    <phoneticPr fontId="24"/>
  </si>
  <si>
    <t>みどりの日</t>
    <rPh sb="4" eb="5">
      <t>ヒ</t>
    </rPh>
    <phoneticPr fontId="24"/>
  </si>
  <si>
    <t>こどもの日</t>
    <rPh sb="4" eb="5">
      <t>ヒ</t>
    </rPh>
    <phoneticPr fontId="24"/>
  </si>
  <si>
    <t>海の日</t>
    <rPh sb="0" eb="1">
      <t>ウミ</t>
    </rPh>
    <rPh sb="2" eb="3">
      <t>ヒ</t>
    </rPh>
    <phoneticPr fontId="24"/>
  </si>
  <si>
    <t>敬老の日</t>
    <rPh sb="0" eb="2">
      <t>ケイロウ</t>
    </rPh>
    <rPh sb="3" eb="4">
      <t>ヒ</t>
    </rPh>
    <phoneticPr fontId="24"/>
  </si>
  <si>
    <t>体育の日</t>
    <rPh sb="0" eb="2">
      <t>タイイク</t>
    </rPh>
    <rPh sb="3" eb="4">
      <t>ヒ</t>
    </rPh>
    <phoneticPr fontId="24"/>
  </si>
  <si>
    <t>文化の日</t>
    <rPh sb="0" eb="2">
      <t>ブンカ</t>
    </rPh>
    <rPh sb="3" eb="4">
      <t>ヒ</t>
    </rPh>
    <phoneticPr fontId="24"/>
  </si>
  <si>
    <t>元旦</t>
    <rPh sb="0" eb="2">
      <t>ガンタン</t>
    </rPh>
    <phoneticPr fontId="24"/>
  </si>
  <si>
    <t>春分の日</t>
    <rPh sb="0" eb="2">
      <t>シュンブン</t>
    </rPh>
    <rPh sb="3" eb="4">
      <t>ヒ</t>
    </rPh>
    <phoneticPr fontId="24"/>
  </si>
  <si>
    <t>お客様での勤怠</t>
    <rPh sb="1" eb="3">
      <t>キャクサマ</t>
    </rPh>
    <rPh sb="5" eb="7">
      <t>キンタイ</t>
    </rPh>
    <phoneticPr fontId="24"/>
  </si>
  <si>
    <t>これ以降は、定時以降の休憩があれば入れてください。</t>
    <rPh sb="2" eb="4">
      <t>イコウ</t>
    </rPh>
    <rPh sb="6" eb="8">
      <t>テイジ</t>
    </rPh>
    <rPh sb="8" eb="10">
      <t>イコウ</t>
    </rPh>
    <rPh sb="11" eb="13">
      <t>キュウケイ</t>
    </rPh>
    <rPh sb="17" eb="18">
      <t>イ</t>
    </rPh>
    <phoneticPr fontId="24"/>
  </si>
  <si>
    <t>曜日</t>
    <rPh sb="0" eb="2">
      <t>ヨウビ</t>
    </rPh>
    <phoneticPr fontId="24"/>
  </si>
  <si>
    <t>備　　　考</t>
    <rPh sb="0" eb="1">
      <t>ビ</t>
    </rPh>
    <rPh sb="4" eb="5">
      <t>コウ</t>
    </rPh>
    <phoneticPr fontId="24"/>
  </si>
  <si>
    <t>月間累計</t>
  </si>
  <si>
    <t>調整前</t>
    <rPh sb="0" eb="2">
      <t>チョウセイ</t>
    </rPh>
    <rPh sb="2" eb="3">
      <t>マエ</t>
    </rPh>
    <phoneticPr fontId="24"/>
  </si>
  <si>
    <t>超過時間
累計</t>
    <rPh sb="0" eb="2">
      <t>チョウカ</t>
    </rPh>
    <rPh sb="2" eb="4">
      <t>ジカン</t>
    </rPh>
    <rPh sb="5" eb="7">
      <t>ルイケイ</t>
    </rPh>
    <phoneticPr fontId="24"/>
  </si>
  <si>
    <t>労働日</t>
    <rPh sb="0" eb="3">
      <t>ロウドウビ</t>
    </rPh>
    <phoneticPr fontId="24"/>
  </si>
  <si>
    <t>時間単位
（月）</t>
    <rPh sb="0" eb="2">
      <t>ジカン</t>
    </rPh>
    <rPh sb="2" eb="4">
      <t>タンイ</t>
    </rPh>
    <rPh sb="6" eb="7">
      <t>ツキ</t>
    </rPh>
    <phoneticPr fontId="24"/>
  </si>
  <si>
    <t>終業
時刻</t>
    <rPh sb="0" eb="2">
      <t>シュウギョウ</t>
    </rPh>
    <rPh sb="3" eb="5">
      <t>ジコク</t>
    </rPh>
    <phoneticPr fontId="24"/>
  </si>
  <si>
    <t>始業
時刻</t>
    <rPh sb="0" eb="2">
      <t>シギョウ</t>
    </rPh>
    <rPh sb="3" eb="5">
      <t>ジコク</t>
    </rPh>
    <phoneticPr fontId="24"/>
  </si>
  <si>
    <t>１日
の始</t>
    <rPh sb="1" eb="2">
      <t>ニチ</t>
    </rPh>
    <rPh sb="4" eb="5">
      <t>ハジ</t>
    </rPh>
    <phoneticPr fontId="24"/>
  </si>
  <si>
    <t>休憩
１始</t>
    <rPh sb="0" eb="2">
      <t>キュウケイ</t>
    </rPh>
    <rPh sb="4" eb="5">
      <t>ハジ</t>
    </rPh>
    <phoneticPr fontId="24"/>
  </si>
  <si>
    <t>休憩
１終</t>
    <rPh sb="0" eb="2">
      <t>キュウケイ</t>
    </rPh>
    <rPh sb="4" eb="5">
      <t>オ</t>
    </rPh>
    <phoneticPr fontId="24"/>
  </si>
  <si>
    <t>休憩
２始</t>
    <rPh sb="0" eb="2">
      <t>キュウケイ</t>
    </rPh>
    <rPh sb="4" eb="5">
      <t>ハジ</t>
    </rPh>
    <phoneticPr fontId="24"/>
  </si>
  <si>
    <t>休憩
２終</t>
    <rPh sb="0" eb="2">
      <t>キュウケイ</t>
    </rPh>
    <rPh sb="4" eb="5">
      <t>オ</t>
    </rPh>
    <phoneticPr fontId="24"/>
  </si>
  <si>
    <t>休憩
３始</t>
    <rPh sb="0" eb="2">
      <t>キュウケイ</t>
    </rPh>
    <rPh sb="4" eb="5">
      <t>ハジ</t>
    </rPh>
    <phoneticPr fontId="24"/>
  </si>
  <si>
    <t>休憩
３終</t>
    <rPh sb="0" eb="2">
      <t>キュウケイ</t>
    </rPh>
    <rPh sb="4" eb="5">
      <t>オ</t>
    </rPh>
    <phoneticPr fontId="24"/>
  </si>
  <si>
    <t>休憩
４始</t>
    <rPh sb="0" eb="2">
      <t>キュウケイ</t>
    </rPh>
    <rPh sb="4" eb="5">
      <t>ハジ</t>
    </rPh>
    <phoneticPr fontId="24"/>
  </si>
  <si>
    <t>休憩
４終</t>
    <rPh sb="0" eb="2">
      <t>キュウケイ</t>
    </rPh>
    <rPh sb="4" eb="5">
      <t>オ</t>
    </rPh>
    <phoneticPr fontId="24"/>
  </si>
  <si>
    <t>休憩
５始</t>
    <rPh sb="0" eb="2">
      <t>キュウケイ</t>
    </rPh>
    <rPh sb="4" eb="5">
      <t>ハジ</t>
    </rPh>
    <phoneticPr fontId="24"/>
  </si>
  <si>
    <t>休憩
５終</t>
    <rPh sb="0" eb="2">
      <t>キュウケイ</t>
    </rPh>
    <rPh sb="4" eb="5">
      <t>オ</t>
    </rPh>
    <phoneticPr fontId="24"/>
  </si>
  <si>
    <t>休憩
６始</t>
    <rPh sb="0" eb="2">
      <t>キュウケイ</t>
    </rPh>
    <rPh sb="4" eb="5">
      <t>ハジ</t>
    </rPh>
    <phoneticPr fontId="24"/>
  </si>
  <si>
    <t>休憩
６終</t>
    <rPh sb="0" eb="2">
      <t>キュウケイ</t>
    </rPh>
    <rPh sb="4" eb="5">
      <t>オ</t>
    </rPh>
    <phoneticPr fontId="24"/>
  </si>
  <si>
    <t>休憩
７始</t>
    <rPh sb="0" eb="2">
      <t>キュウケイ</t>
    </rPh>
    <rPh sb="4" eb="5">
      <t>ハジ</t>
    </rPh>
    <phoneticPr fontId="24"/>
  </si>
  <si>
    <t>休憩
７終</t>
    <rPh sb="0" eb="2">
      <t>キュウケイ</t>
    </rPh>
    <rPh sb="4" eb="5">
      <t>オ</t>
    </rPh>
    <phoneticPr fontId="24"/>
  </si>
  <si>
    <t>法律時間１</t>
    <rPh sb="0" eb="2">
      <t>ホウリツ</t>
    </rPh>
    <rPh sb="2" eb="4">
      <t>ジカン</t>
    </rPh>
    <phoneticPr fontId="24"/>
  </si>
  <si>
    <t>最低
休暇時間１</t>
    <rPh sb="0" eb="2">
      <t>サイテイ</t>
    </rPh>
    <rPh sb="3" eb="5">
      <t>キュウカ</t>
    </rPh>
    <rPh sb="5" eb="7">
      <t>ジカン</t>
    </rPh>
    <phoneticPr fontId="24"/>
  </si>
  <si>
    <t>法律時間２</t>
    <rPh sb="0" eb="2">
      <t>ホウリツ</t>
    </rPh>
    <rPh sb="2" eb="4">
      <t>ジカン</t>
    </rPh>
    <phoneticPr fontId="24"/>
  </si>
  <si>
    <t>最低
休暇時間２</t>
    <rPh sb="0" eb="2">
      <t>サイテイ</t>
    </rPh>
    <rPh sb="3" eb="5">
      <t>キュウカ</t>
    </rPh>
    <rPh sb="5" eb="7">
      <t>ジカン</t>
    </rPh>
    <phoneticPr fontId="24"/>
  </si>
  <si>
    <t>実労働</t>
    <rPh sb="0" eb="1">
      <t>ジツ</t>
    </rPh>
    <rPh sb="1" eb="3">
      <t>ロウドウ</t>
    </rPh>
    <phoneticPr fontId="24"/>
  </si>
  <si>
    <t>実労働累計</t>
    <rPh sb="0" eb="1">
      <t>ジツ</t>
    </rPh>
    <rPh sb="1" eb="3">
      <t>ロウドウ</t>
    </rPh>
    <rPh sb="3" eb="5">
      <t>ルイケイ</t>
    </rPh>
    <phoneticPr fontId="24"/>
  </si>
  <si>
    <t>基準</t>
    <rPh sb="0" eb="2">
      <t>キジュン</t>
    </rPh>
    <phoneticPr fontId="24"/>
  </si>
  <si>
    <t>休憩合計</t>
    <rPh sb="0" eb="2">
      <t>キュウケイ</t>
    </rPh>
    <rPh sb="2" eb="4">
      <t>ゴウケイ</t>
    </rPh>
    <phoneticPr fontId="24"/>
  </si>
  <si>
    <t>休憩２</t>
    <rPh sb="0" eb="2">
      <t>キュウケイ</t>
    </rPh>
    <phoneticPr fontId="24"/>
  </si>
  <si>
    <t>休憩３</t>
    <rPh sb="0" eb="2">
      <t>キュウケイ</t>
    </rPh>
    <phoneticPr fontId="24"/>
  </si>
  <si>
    <t>休憩４</t>
    <rPh sb="0" eb="2">
      <t>キュウケイ</t>
    </rPh>
    <phoneticPr fontId="24"/>
  </si>
  <si>
    <t>休憩５</t>
    <rPh sb="0" eb="2">
      <t>キュウケイ</t>
    </rPh>
    <phoneticPr fontId="24"/>
  </si>
  <si>
    <t>休憩６</t>
    <rPh sb="0" eb="2">
      <t>キュウケイ</t>
    </rPh>
    <phoneticPr fontId="24"/>
  </si>
  <si>
    <t>休憩７</t>
    <rPh sb="0" eb="2">
      <t>キュウケイ</t>
    </rPh>
    <phoneticPr fontId="24"/>
  </si>
  <si>
    <t>分表示</t>
    <rPh sb="0" eb="1">
      <t>フン</t>
    </rPh>
    <rPh sb="1" eb="3">
      <t>ヒョウジ</t>
    </rPh>
    <phoneticPr fontId="24"/>
  </si>
  <si>
    <t>実際
出社</t>
    <rPh sb="0" eb="2">
      <t>ジッサイ</t>
    </rPh>
    <rPh sb="3" eb="5">
      <t>シュッシャ</t>
    </rPh>
    <phoneticPr fontId="24"/>
  </si>
  <si>
    <t>計算
出社</t>
    <rPh sb="0" eb="2">
      <t>ケイサン</t>
    </rPh>
    <rPh sb="3" eb="5">
      <t>シュッシャ</t>
    </rPh>
    <phoneticPr fontId="24"/>
  </si>
  <si>
    <t>実際
退社</t>
    <rPh sb="0" eb="2">
      <t>ジッサイ</t>
    </rPh>
    <rPh sb="3" eb="5">
      <t>タイシャ</t>
    </rPh>
    <phoneticPr fontId="24"/>
  </si>
  <si>
    <t>計算
退社</t>
    <rPh sb="0" eb="2">
      <t>ケイサン</t>
    </rPh>
    <rPh sb="3" eb="5">
      <t>タイシャ</t>
    </rPh>
    <phoneticPr fontId="24"/>
  </si>
  <si>
    <t>出社
～始業</t>
    <rPh sb="0" eb="2">
      <t>シュッシャ</t>
    </rPh>
    <rPh sb="4" eb="6">
      <t>シギョウ</t>
    </rPh>
    <phoneticPr fontId="24"/>
  </si>
  <si>
    <t>始１</t>
    <rPh sb="0" eb="1">
      <t>ハジ</t>
    </rPh>
    <phoneticPr fontId="24"/>
  </si>
  <si>
    <t>終１</t>
    <rPh sb="0" eb="1">
      <t>オ</t>
    </rPh>
    <phoneticPr fontId="24"/>
  </si>
  <si>
    <t>始業
～休1</t>
    <rPh sb="0" eb="2">
      <t>シギョウ</t>
    </rPh>
    <rPh sb="4" eb="5">
      <t>ヤス</t>
    </rPh>
    <phoneticPr fontId="24"/>
  </si>
  <si>
    <t>始２</t>
    <rPh sb="0" eb="1">
      <t>ハジ</t>
    </rPh>
    <phoneticPr fontId="24"/>
  </si>
  <si>
    <t>終２</t>
    <rPh sb="0" eb="1">
      <t>オ</t>
    </rPh>
    <phoneticPr fontId="24"/>
  </si>
  <si>
    <t>休１
～休２</t>
    <rPh sb="0" eb="1">
      <t>キュウ</t>
    </rPh>
    <rPh sb="4" eb="5">
      <t>ヤス</t>
    </rPh>
    <phoneticPr fontId="24"/>
  </si>
  <si>
    <t>始３</t>
    <rPh sb="0" eb="1">
      <t>ハジ</t>
    </rPh>
    <phoneticPr fontId="24"/>
  </si>
  <si>
    <t>終３</t>
    <rPh sb="0" eb="1">
      <t>オ</t>
    </rPh>
    <phoneticPr fontId="24"/>
  </si>
  <si>
    <t>休２
～休３</t>
    <rPh sb="0" eb="1">
      <t>キュウ</t>
    </rPh>
    <rPh sb="4" eb="5">
      <t>ヤス</t>
    </rPh>
    <phoneticPr fontId="24"/>
  </si>
  <si>
    <t>始４</t>
    <rPh sb="0" eb="1">
      <t>ハジ</t>
    </rPh>
    <phoneticPr fontId="24"/>
  </si>
  <si>
    <t>終４</t>
    <rPh sb="0" eb="1">
      <t>オ</t>
    </rPh>
    <phoneticPr fontId="24"/>
  </si>
  <si>
    <t>休３
～休４</t>
    <rPh sb="0" eb="1">
      <t>キュウ</t>
    </rPh>
    <rPh sb="4" eb="5">
      <t>ヤス</t>
    </rPh>
    <phoneticPr fontId="24"/>
  </si>
  <si>
    <t>始５</t>
    <rPh sb="0" eb="1">
      <t>ハジ</t>
    </rPh>
    <phoneticPr fontId="24"/>
  </si>
  <si>
    <t>終５</t>
    <rPh sb="0" eb="1">
      <t>オ</t>
    </rPh>
    <phoneticPr fontId="24"/>
  </si>
  <si>
    <t>休４
～休５</t>
    <rPh sb="0" eb="1">
      <t>キュウ</t>
    </rPh>
    <rPh sb="4" eb="5">
      <t>ヤス</t>
    </rPh>
    <phoneticPr fontId="24"/>
  </si>
  <si>
    <t>始６</t>
    <rPh sb="0" eb="1">
      <t>ハジ</t>
    </rPh>
    <phoneticPr fontId="24"/>
  </si>
  <si>
    <t>終６</t>
    <rPh sb="0" eb="1">
      <t>オ</t>
    </rPh>
    <phoneticPr fontId="24"/>
  </si>
  <si>
    <t>休５
～休６</t>
    <rPh sb="0" eb="1">
      <t>キュウ</t>
    </rPh>
    <rPh sb="4" eb="5">
      <t>ヤス</t>
    </rPh>
    <phoneticPr fontId="24"/>
  </si>
  <si>
    <t>始７</t>
    <rPh sb="0" eb="1">
      <t>ハジ</t>
    </rPh>
    <phoneticPr fontId="24"/>
  </si>
  <si>
    <t>終７</t>
    <rPh sb="0" eb="1">
      <t>オ</t>
    </rPh>
    <phoneticPr fontId="24"/>
  </si>
  <si>
    <t>休み６
～休７</t>
    <rPh sb="0" eb="1">
      <t>ヤス</t>
    </rPh>
    <rPh sb="5" eb="6">
      <t>ヤス</t>
    </rPh>
    <phoneticPr fontId="24"/>
  </si>
  <si>
    <t>法休</t>
    <rPh sb="0" eb="1">
      <t>ホウ</t>
    </rPh>
    <rPh sb="1" eb="2">
      <t>キュウ</t>
    </rPh>
    <phoneticPr fontId="24"/>
  </si>
  <si>
    <t>私用外出</t>
    <rPh sb="0" eb="2">
      <t>シヨウ</t>
    </rPh>
    <rPh sb="2" eb="4">
      <t>ガイシュツ</t>
    </rPh>
    <phoneticPr fontId="24"/>
  </si>
  <si>
    <t>時短縮
入力時間</t>
    <rPh sb="0" eb="1">
      <t>ジ</t>
    </rPh>
    <rPh sb="1" eb="3">
      <t>タンシュク</t>
    </rPh>
    <rPh sb="4" eb="6">
      <t>ニュウリョク</t>
    </rPh>
    <rPh sb="6" eb="8">
      <t>ジカン</t>
    </rPh>
    <phoneticPr fontId="24"/>
  </si>
  <si>
    <t>休憩短縮</t>
    <rPh sb="0" eb="2">
      <t>キュウケイ</t>
    </rPh>
    <rPh sb="2" eb="4">
      <t>タンシュク</t>
    </rPh>
    <phoneticPr fontId="24"/>
  </si>
  <si>
    <t>調整前
（分）</t>
    <rPh sb="0" eb="2">
      <t>チョウセイ</t>
    </rPh>
    <rPh sb="2" eb="3">
      <t>マエ</t>
    </rPh>
    <rPh sb="5" eb="6">
      <t>フン</t>
    </rPh>
    <phoneticPr fontId="24"/>
  </si>
  <si>
    <t>調整後（分）</t>
    <rPh sb="0" eb="2">
      <t>チョウセイ</t>
    </rPh>
    <rPh sb="2" eb="3">
      <t>ウシ</t>
    </rPh>
    <rPh sb="4" eb="5">
      <t>フン</t>
    </rPh>
    <phoneticPr fontId="24"/>
  </si>
  <si>
    <t>調整後
（時）</t>
    <rPh sb="0" eb="2">
      <t>チョウセイ</t>
    </rPh>
    <rPh sb="2" eb="3">
      <t>ウシ</t>
    </rPh>
    <rPh sb="5" eb="6">
      <t>トキ</t>
    </rPh>
    <phoneticPr fontId="24"/>
  </si>
  <si>
    <t>負</t>
    <rPh sb="0" eb="1">
      <t>フ</t>
    </rPh>
    <phoneticPr fontId="24"/>
  </si>
  <si>
    <t>（分）</t>
    <rPh sb="1" eb="2">
      <t>フン</t>
    </rPh>
    <phoneticPr fontId="24"/>
  </si>
  <si>
    <t>（時）</t>
    <rPh sb="1" eb="2">
      <t>トキ</t>
    </rPh>
    <phoneticPr fontId="24"/>
  </si>
  <si>
    <t>絶対値</t>
    <rPh sb="0" eb="3">
      <t>ゼッタイチ</t>
    </rPh>
    <phoneticPr fontId="24"/>
  </si>
  <si>
    <t>（分）</t>
  </si>
  <si>
    <t>合計</t>
    <rPh sb="0" eb="2">
      <t>ゴウケイ</t>
    </rPh>
    <phoneticPr fontId="24"/>
  </si>
  <si>
    <t>富士ソフト使用欄</t>
    <rPh sb="0" eb="2">
      <t>フジ</t>
    </rPh>
    <rPh sb="5" eb="7">
      <t>シヨウ</t>
    </rPh>
    <rPh sb="7" eb="8">
      <t>ラン</t>
    </rPh>
    <phoneticPr fontId="24"/>
  </si>
  <si>
    <t>確認</t>
    <rPh sb="0" eb="2">
      <t>カクニン</t>
    </rPh>
    <phoneticPr fontId="24"/>
  </si>
  <si>
    <t>昼休憩始</t>
    <rPh sb="0" eb="1">
      <t>ヒル</t>
    </rPh>
    <rPh sb="1" eb="3">
      <t>キュウケイ</t>
    </rPh>
    <rPh sb="3" eb="4">
      <t>ハジ</t>
    </rPh>
    <phoneticPr fontId="24"/>
  </si>
  <si>
    <t>昼休憩終</t>
    <rPh sb="0" eb="1">
      <t>ヒル</t>
    </rPh>
    <rPh sb="1" eb="3">
      <t>キュウケイ</t>
    </rPh>
    <rPh sb="3" eb="4">
      <t>オ</t>
    </rPh>
    <phoneticPr fontId="24"/>
  </si>
  <si>
    <t>夜中の12時以降は、「25:00」「26:00」のように入れてください。</t>
    <rPh sb="0" eb="2">
      <t>ヨナカ</t>
    </rPh>
    <rPh sb="5" eb="6">
      <t>ジ</t>
    </rPh>
    <rPh sb="6" eb="8">
      <t>イコウ</t>
    </rPh>
    <rPh sb="28" eb="29">
      <t>イ</t>
    </rPh>
    <phoneticPr fontId="24"/>
  </si>
  <si>
    <t>基準
時間</t>
    <rPh sb="0" eb="2">
      <t>キジュン</t>
    </rPh>
    <rPh sb="3" eb="5">
      <t>ジカン</t>
    </rPh>
    <phoneticPr fontId="24"/>
  </si>
  <si>
    <t>３桁の部所コードを入力して下さい。</t>
  </si>
  <si>
    <t>所属会社名（富士ソフトと契約を交わしている会社名）を入力して下さい。</t>
  </si>
  <si>
    <t>氏名を入力して下さい。</t>
  </si>
  <si>
    <t>６桁の登録番号を入力して下さい。</t>
  </si>
  <si>
    <t>■問い合わせ■</t>
    <rPh sb="1" eb="2">
      <t>ト</t>
    </rPh>
    <rPh sb="3" eb="4">
      <t>ア</t>
    </rPh>
    <phoneticPr fontId="24"/>
  </si>
  <si>
    <t>本ツールについてのお問い合わせは、下記までお願い致します。</t>
    <rPh sb="0" eb="1">
      <t>ホン</t>
    </rPh>
    <rPh sb="10" eb="11">
      <t>ト</t>
    </rPh>
    <rPh sb="12" eb="13">
      <t>ア</t>
    </rPh>
    <rPh sb="17" eb="19">
      <t>カキ</t>
    </rPh>
    <rPh sb="22" eb="23">
      <t>ネガ</t>
    </rPh>
    <rPh sb="24" eb="25">
      <t>イタ</t>
    </rPh>
    <phoneticPr fontId="24"/>
  </si>
  <si>
    <t>お客様名</t>
    <rPh sb="1" eb="3">
      <t>キャクサマ</t>
    </rPh>
    <rPh sb="3" eb="4">
      <t>メイ</t>
    </rPh>
    <phoneticPr fontId="24"/>
  </si>
  <si>
    <t>勤怠タイプ</t>
    <rPh sb="0" eb="2">
      <t>キンタイ</t>
    </rPh>
    <phoneticPr fontId="24"/>
  </si>
  <si>
    <t>定時間内の標準稼動時間を入れてください。</t>
    <rPh sb="0" eb="2">
      <t>テイジ</t>
    </rPh>
    <rPh sb="2" eb="3">
      <t>カン</t>
    </rPh>
    <rPh sb="3" eb="4">
      <t>ナイ</t>
    </rPh>
    <rPh sb="5" eb="7">
      <t>ヒョウジュン</t>
    </rPh>
    <rPh sb="7" eb="9">
      <t>カドウ</t>
    </rPh>
    <rPh sb="9" eb="11">
      <t>ジカン</t>
    </rPh>
    <rPh sb="12" eb="13">
      <t>イ</t>
    </rPh>
    <phoneticPr fontId="24"/>
  </si>
  <si>
    <t>1日の中で計算開始可能な時刻を入れてください。</t>
    <rPh sb="1" eb="2">
      <t>ニチ</t>
    </rPh>
    <rPh sb="3" eb="4">
      <t>ナカ</t>
    </rPh>
    <rPh sb="5" eb="7">
      <t>ケイサン</t>
    </rPh>
    <rPh sb="7" eb="9">
      <t>カイシ</t>
    </rPh>
    <rPh sb="9" eb="11">
      <t>カノウ</t>
    </rPh>
    <rPh sb="12" eb="14">
      <t>ジコク</t>
    </rPh>
    <rPh sb="15" eb="16">
      <t>イ</t>
    </rPh>
    <phoneticPr fontId="24"/>
  </si>
  <si>
    <t>朝の出社定刻を入れてください</t>
    <rPh sb="0" eb="1">
      <t>アサ</t>
    </rPh>
    <rPh sb="2" eb="4">
      <t>シュッシャ</t>
    </rPh>
    <rPh sb="4" eb="6">
      <t>テイコク</t>
    </rPh>
    <rPh sb="7" eb="8">
      <t>イ</t>
    </rPh>
    <phoneticPr fontId="24"/>
  </si>
  <si>
    <t>定時の時間を入れてください。</t>
    <rPh sb="0" eb="2">
      <t>テイジ</t>
    </rPh>
    <rPh sb="3" eb="5">
      <t>ジカン</t>
    </rPh>
    <rPh sb="6" eb="7">
      <t>イ</t>
    </rPh>
    <phoneticPr fontId="24"/>
  </si>
  <si>
    <t>※休憩開始時間が入っていません</t>
    <rPh sb="1" eb="3">
      <t>キュウケイ</t>
    </rPh>
    <rPh sb="3" eb="5">
      <t>カイシ</t>
    </rPh>
    <rPh sb="5" eb="7">
      <t>ジカン</t>
    </rPh>
    <rPh sb="8" eb="9">
      <t>ハイ</t>
    </rPh>
    <phoneticPr fontId="24"/>
  </si>
  <si>
    <t>お昼休憩時間を入れてください。</t>
    <rPh sb="1" eb="2">
      <t>ヒル</t>
    </rPh>
    <rPh sb="2" eb="4">
      <t>キュウケイ</t>
    </rPh>
    <rPh sb="4" eb="6">
      <t>ジカン</t>
    </rPh>
    <rPh sb="7" eb="8">
      <t>イ</t>
    </rPh>
    <phoneticPr fontId="24"/>
  </si>
  <si>
    <t>1日の合計時間から丸める時間単位を入れてください</t>
    <rPh sb="1" eb="2">
      <t>ニチ</t>
    </rPh>
    <rPh sb="3" eb="5">
      <t>ゴウケイ</t>
    </rPh>
    <rPh sb="5" eb="7">
      <t>ジカン</t>
    </rPh>
    <rPh sb="9" eb="10">
      <t>マル</t>
    </rPh>
    <rPh sb="12" eb="14">
      <t>ジカン</t>
    </rPh>
    <rPh sb="14" eb="16">
      <t>タンイ</t>
    </rPh>
    <rPh sb="17" eb="18">
      <t>イ</t>
    </rPh>
    <phoneticPr fontId="24"/>
  </si>
  <si>
    <t>1ヶ月の合計時間から丸める時間単位を入れてください</t>
    <rPh sb="2" eb="3">
      <t>ゲツ</t>
    </rPh>
    <rPh sb="4" eb="6">
      <t>ゴウケイ</t>
    </rPh>
    <rPh sb="6" eb="8">
      <t>ジカン</t>
    </rPh>
    <rPh sb="10" eb="11">
      <t>マル</t>
    </rPh>
    <rPh sb="13" eb="15">
      <t>ジカン</t>
    </rPh>
    <rPh sb="15" eb="17">
      <t>タンイ</t>
    </rPh>
    <rPh sb="18" eb="19">
      <t>イ</t>
    </rPh>
    <phoneticPr fontId="24"/>
  </si>
  <si>
    <t>入力する開始、終了時刻の入力時間から丸める時間単位を入れてください</t>
    <rPh sb="0" eb="2">
      <t>ニュウリョク</t>
    </rPh>
    <rPh sb="4" eb="6">
      <t>カイシ</t>
    </rPh>
    <rPh sb="7" eb="9">
      <t>シュウリョウ</t>
    </rPh>
    <rPh sb="9" eb="11">
      <t>ジコク</t>
    </rPh>
    <rPh sb="12" eb="14">
      <t>ニュウリョク</t>
    </rPh>
    <rPh sb="14" eb="16">
      <t>ジカン</t>
    </rPh>
    <rPh sb="18" eb="19">
      <t>マル</t>
    </rPh>
    <rPh sb="21" eb="23">
      <t>ジカン</t>
    </rPh>
    <rPh sb="23" eb="25">
      <t>タンイ</t>
    </rPh>
    <rPh sb="26" eb="27">
      <t>イ</t>
    </rPh>
    <phoneticPr fontId="24"/>
  </si>
  <si>
    <t>↑お客様名または、お客様名+部所名を入れてください。</t>
    <rPh sb="2" eb="4">
      <t>キャクサマ</t>
    </rPh>
    <rPh sb="4" eb="5">
      <t>メイ</t>
    </rPh>
    <rPh sb="10" eb="12">
      <t>キャクサマ</t>
    </rPh>
    <rPh sb="12" eb="13">
      <t>メイ</t>
    </rPh>
    <rPh sb="14" eb="15">
      <t>ブ</t>
    </rPh>
    <rPh sb="15" eb="16">
      <t>ショ</t>
    </rPh>
    <rPh sb="16" eb="17">
      <t>メイ</t>
    </rPh>
    <rPh sb="18" eb="19">
      <t>イ</t>
    </rPh>
    <phoneticPr fontId="24"/>
  </si>
  <si>
    <t>労働基準法</t>
  </si>
  <si>
    <t>第４章　労働時間、休憩、休日及び年次有給休暇</t>
  </si>
  <si>
    <t>（休憩）</t>
  </si>
  <si>
    <t>（時間外及び休日の労働）</t>
  </si>
  <si>
    <t>■メニュー画面の入力方法■</t>
  </si>
  <si>
    <t>【新規入力】</t>
  </si>
  <si>
    <t>「メニュー」シートから部所コード、部所名、会社名、氏名、登録番号及び作成したいフォーマットを選択し、スピンボタン</t>
  </si>
  <si>
    <t>（▲▼ボタン）をクリックし作成したい月を選択します。</t>
  </si>
  <si>
    <t>選択後「この月を新規作成」ボタンをクリックし、しばらく待つと新規に入力フォーマットが作成されます。</t>
  </si>
  <si>
    <t>【メニュー画面入力方法】</t>
  </si>
  <si>
    <t xml:space="preserve">部所コード　： </t>
  </si>
  <si>
    <t>不明な場合は、所属長に確認して下さい。</t>
  </si>
  <si>
    <t>また、所属が変更となった場合は、再入力して下さい。</t>
  </si>
  <si>
    <t>部所名　　  ：</t>
  </si>
  <si>
    <t>事業部名（統括部、センター）以降、グループ名まで入力して下さい。</t>
  </si>
  <si>
    <t xml:space="preserve">会社名　　  ： </t>
  </si>
  <si>
    <t xml:space="preserve">個人契約の場合は、個人と入力して下さい。    </t>
  </si>
  <si>
    <t>【入力例】ソフトウエア開発（株）</t>
  </si>
  <si>
    <t xml:space="preserve">氏　名　　   ： </t>
  </si>
  <si>
    <t>外国籍の方で漢字入力出来ない場合は、カタカナで入力して下さい。</t>
  </si>
  <si>
    <t>【入力例】富士　太郎　　･･･　氏と名の間は、１文字空ける</t>
  </si>
  <si>
    <t>【入力例】ヴィンセント・ヴァン・ゴッホ</t>
  </si>
  <si>
    <t xml:space="preserve">登録番号　 ： </t>
  </si>
  <si>
    <t>部所コード、登録番号は入力後、自動的に半角に変換されます。</t>
  </si>
  <si>
    <t>また、部所名、会社名、氏名は入力後、全角に変換されます。</t>
  </si>
  <si>
    <t>フォーマットに 「メニュー」シートでの入力内容が転記されていますので、必ず両方を訂正して下さい。</t>
  </si>
  <si>
    <t>以下の項目から作成するフォーマットを選択して下さい。（複数選択可）</t>
  </si>
  <si>
    <t>※</t>
  </si>
  <si>
    <t>登録番号変更の有無は、所属長に確認して下さい。</t>
  </si>
  <si>
    <t>交通費明細書の作成</t>
  </si>
  <si>
    <t>出張費明細書の作成</t>
  </si>
  <si>
    <t>【入力例】</t>
  </si>
  <si>
    <t>実 行 時 間</t>
  </si>
  <si>
    <t>～</t>
  </si>
  <si>
    <t>【実行時間入力】</t>
  </si>
  <si>
    <t>■交通費明細書入力方法■</t>
  </si>
  <si>
    <t>■出張費明細書入力方法■</t>
  </si>
  <si>
    <t>精算月で出張明細書を作成して下さい。</t>
  </si>
  <si>
    <t>日付は、XX/XX/XX (年/月/日)、またはXX/XX (月/日)で入力して下さい。</t>
  </si>
  <si>
    <t>提出日になりましたら印刷後、印欄に捺印し所属長へ提出をして下さい。</t>
  </si>
  <si>
    <t>宿泊費を実費にて精算する場合、１泊ごとに料金が異なる場合があります。</t>
  </si>
  <si>
    <t>新規作成を行う場合は該当する年月をスピンボタンにより変更して</t>
  </si>
  <si>
    <t>「この月を新規作成」を押下してください。</t>
  </si>
  <si>
    <t>部所名を入力してください</t>
  </si>
  <si>
    <t>会社名を入力してください</t>
  </si>
  <si>
    <t>超過</t>
  </si>
  <si>
    <t>日付</t>
  </si>
  <si>
    <t>FUJISOFT401_Ver3.00</t>
  </si>
  <si>
    <t xml:space="preserve"> 出張期間</t>
  </si>
  <si>
    <t xml:space="preserve">  ～</t>
  </si>
  <si>
    <t xml:space="preserve"> 出 張 先</t>
  </si>
  <si>
    <t xml:space="preserve"> 出張用件</t>
  </si>
  <si>
    <t xml:space="preserve">    発            駅</t>
  </si>
  <si>
    <t xml:space="preserve">   着            駅</t>
  </si>
  <si>
    <t>別紙明細の合計</t>
  </si>
  <si>
    <t xml:space="preserve"> 小　　計</t>
  </si>
  <si>
    <t>①</t>
  </si>
  <si>
    <t>一般宿泊</t>
  </si>
  <si>
    <t xml:space="preserve"> ～</t>
  </si>
  <si>
    <t>車船中泊</t>
  </si>
  <si>
    <t>小    計</t>
  </si>
  <si>
    <t>②</t>
  </si>
  <si>
    <t>③</t>
  </si>
  <si>
    <t>仮払金額</t>
  </si>
  <si>
    <t>④</t>
  </si>
  <si>
    <t>★★★　本フォーマットは、準委任契約社員の作業時間及び交通費、出張旅費の報告専用です。★★★</t>
    <rPh sb="13" eb="14">
      <t>ジュン</t>
    </rPh>
    <rPh sb="14" eb="16">
      <t>イニン</t>
    </rPh>
    <phoneticPr fontId="24"/>
  </si>
  <si>
    <t>★★★　準委任契約社員の方以外は使用しないで下さい。　　　　 　　　　　　　　　　　　　　　　　　　★★★</t>
    <rPh sb="4" eb="5">
      <t>ジュン</t>
    </rPh>
    <rPh sb="5" eb="7">
      <t>イニン</t>
    </rPh>
    <phoneticPr fontId="24"/>
  </si>
  <si>
    <t>　</t>
    <phoneticPr fontId="24"/>
  </si>
  <si>
    <t xml:space="preserve">  </t>
    <phoneticPr fontId="24"/>
  </si>
  <si>
    <t xml:space="preserve">　　　　　　　　　  </t>
    <phoneticPr fontId="24"/>
  </si>
  <si>
    <r>
      <t xml:space="preserve">　　　　　 </t>
    </r>
    <r>
      <rPr>
        <sz val="11"/>
        <rFont val="ＭＳ Ｐゴシック"/>
        <family val="3"/>
        <charset val="128"/>
      </rPr>
      <t xml:space="preserve"> 　　　  </t>
    </r>
    <phoneticPr fontId="24"/>
  </si>
  <si>
    <t xml:space="preserve">　 </t>
    <phoneticPr fontId="24"/>
  </si>
  <si>
    <r>
      <t xml:space="preserve">　　　 </t>
    </r>
    <r>
      <rPr>
        <sz val="11"/>
        <rFont val="ＭＳ Ｐゴシック"/>
        <family val="3"/>
        <charset val="128"/>
      </rPr>
      <t xml:space="preserve"> 　　    </t>
    </r>
    <r>
      <rPr>
        <sz val="11"/>
        <rFont val="ＭＳ Ｐゴシック"/>
        <family val="3"/>
        <charset val="128"/>
      </rPr>
      <t>　</t>
    </r>
    <r>
      <rPr>
        <sz val="11"/>
        <rFont val="ＭＳ Ｐゴシック"/>
        <family val="3"/>
        <charset val="128"/>
      </rPr>
      <t xml:space="preserve"> </t>
    </r>
    <r>
      <rPr>
        <sz val="8"/>
        <rFont val="ＭＳ Ｐゴシック"/>
        <family val="3"/>
        <charset val="128"/>
      </rPr>
      <t xml:space="preserve"> </t>
    </r>
    <phoneticPr fontId="24"/>
  </si>
  <si>
    <t xml:space="preserve">　　　　　 　　    </t>
    <phoneticPr fontId="24"/>
  </si>
  <si>
    <t>　　　　　　      　</t>
    <phoneticPr fontId="24"/>
  </si>
  <si>
    <r>
      <t>　    　　　　 　</t>
    </r>
    <r>
      <rPr>
        <sz val="8"/>
        <rFont val="ＭＳ Ｐゴシック"/>
        <family val="3"/>
        <charset val="128"/>
      </rPr>
      <t xml:space="preserve"> </t>
    </r>
    <r>
      <rPr>
        <sz val="11"/>
        <rFont val="ＭＳ Ｐゴシック"/>
        <family val="3"/>
        <charset val="128"/>
      </rPr>
      <t>　</t>
    </r>
    <phoneticPr fontId="24"/>
  </si>
  <si>
    <r>
      <t xml:space="preserve">　　　　   </t>
    </r>
    <r>
      <rPr>
        <sz val="8"/>
        <rFont val="ＭＳ Ｐゴシック"/>
        <family val="3"/>
        <charset val="128"/>
      </rPr>
      <t xml:space="preserve">    </t>
    </r>
    <r>
      <rPr>
        <sz val="11"/>
        <rFont val="ＭＳ Ｐゴシック"/>
        <family val="3"/>
        <charset val="128"/>
      </rPr>
      <t>　　　</t>
    </r>
    <phoneticPr fontId="24"/>
  </si>
  <si>
    <r>
      <t xml:space="preserve">　　　　　　     </t>
    </r>
    <r>
      <rPr>
        <sz val="8"/>
        <rFont val="ＭＳ Ｐゴシック"/>
        <family val="3"/>
        <charset val="128"/>
      </rPr>
      <t xml:space="preserve"> </t>
    </r>
    <r>
      <rPr>
        <sz val="11"/>
        <rFont val="ＭＳ Ｐゴシック"/>
        <family val="3"/>
        <charset val="128"/>
      </rPr>
      <t>　</t>
    </r>
    <phoneticPr fontId="24"/>
  </si>
  <si>
    <t>　　　　      　　　</t>
    <phoneticPr fontId="24"/>
  </si>
  <si>
    <t xml:space="preserve">　　　　　　 　　　 </t>
    <phoneticPr fontId="24"/>
  </si>
  <si>
    <r>
      <t>　　　　　　　　</t>
    </r>
    <r>
      <rPr>
        <sz val="8"/>
        <rFont val="ＭＳ Ｐゴシック"/>
        <family val="3"/>
        <charset val="128"/>
      </rPr>
      <t xml:space="preserve">     </t>
    </r>
    <phoneticPr fontId="24"/>
  </si>
  <si>
    <t>※</t>
    <phoneticPr fontId="24"/>
  </si>
  <si>
    <t xml:space="preserve">　　 </t>
    <phoneticPr fontId="24"/>
  </si>
  <si>
    <t>「メニュー」シートで、上記５項目のいずれかに誤入力したまま、フォーマットを作成してしまった場合は、作成した</t>
    <phoneticPr fontId="24"/>
  </si>
  <si>
    <t>お客様名：</t>
    <phoneticPr fontId="24"/>
  </si>
  <si>
    <t>氏　名</t>
    <phoneticPr fontId="24"/>
  </si>
  <si>
    <t>登録番号</t>
    <rPh sb="0" eb="2">
      <t>トウロク</t>
    </rPh>
    <rPh sb="2" eb="4">
      <t>バンゴウ</t>
    </rPh>
    <phoneticPr fontId="24"/>
  </si>
  <si>
    <t>未消化
休憩</t>
    <rPh sb="0" eb="3">
      <t>ミショウカ</t>
    </rPh>
    <rPh sb="4" eb="6">
      <t>キュウケイ</t>
    </rPh>
    <phoneticPr fontId="24"/>
  </si>
  <si>
    <t>富士ソフト株式会社</t>
    <phoneticPr fontId="24"/>
  </si>
  <si>
    <t>準委任帳票</t>
    <rPh sb="0" eb="1">
      <t>ジュン</t>
    </rPh>
    <rPh sb="1" eb="3">
      <t>イニン</t>
    </rPh>
    <rPh sb="3" eb="5">
      <t>チョウヒョウ</t>
    </rPh>
    <phoneticPr fontId="24"/>
  </si>
  <si>
    <t>部所コードを入力してください</t>
    <rPh sb="0" eb="2">
      <t>ブショ</t>
    </rPh>
    <rPh sb="6" eb="8">
      <t>ニュウリョク</t>
    </rPh>
    <phoneticPr fontId="24"/>
  </si>
  <si>
    <t>氏名を入力してください</t>
    <phoneticPr fontId="24"/>
  </si>
  <si>
    <t>登録番号を入力してください</t>
    <rPh sb="0" eb="2">
      <t>トウロク</t>
    </rPh>
    <rPh sb="2" eb="4">
      <t>バンゴウ</t>
    </rPh>
    <rPh sb="5" eb="7">
      <t>ニュウリョク</t>
    </rPh>
    <phoneticPr fontId="24"/>
  </si>
  <si>
    <t>部所コード</t>
    <rPh sb="0" eb="2">
      <t>ブショ</t>
    </rPh>
    <phoneticPr fontId="24"/>
  </si>
  <si>
    <t>部所名</t>
    <rPh sb="0" eb="2">
      <t>ブショ</t>
    </rPh>
    <rPh sb="2" eb="3">
      <t>メイ</t>
    </rPh>
    <phoneticPr fontId="24"/>
  </si>
  <si>
    <t>会社名</t>
    <rPh sb="0" eb="2">
      <t>カイシャ</t>
    </rPh>
    <rPh sb="2" eb="3">
      <t>メイ</t>
    </rPh>
    <phoneticPr fontId="24"/>
  </si>
  <si>
    <t>連絡事項</t>
    <phoneticPr fontId="24"/>
  </si>
  <si>
    <t>行き先</t>
    <rPh sb="0" eb="3">
      <t>イキサキ</t>
    </rPh>
    <phoneticPr fontId="24"/>
  </si>
  <si>
    <t>目　的</t>
    <rPh sb="0" eb="1">
      <t>メ</t>
    </rPh>
    <rPh sb="2" eb="3">
      <t>マト</t>
    </rPh>
    <phoneticPr fontId="24"/>
  </si>
  <si>
    <t>交通機関</t>
    <rPh sb="0" eb="2">
      <t>コウツウ</t>
    </rPh>
    <rPh sb="2" eb="4">
      <t>キカン</t>
    </rPh>
    <phoneticPr fontId="24"/>
  </si>
  <si>
    <t xml:space="preserve"> 出張費明細書</t>
    <phoneticPr fontId="24"/>
  </si>
  <si>
    <r>
      <t>［</t>
    </r>
    <r>
      <rPr>
        <sz val="11"/>
        <rFont val="ＭＳ Ｐゴシック"/>
        <family val="3"/>
        <charset val="128"/>
      </rPr>
      <t>交通費</t>
    </r>
    <r>
      <rPr>
        <b/>
        <sz val="11"/>
        <rFont val="ＭＳ Ｐゴシック"/>
        <family val="3"/>
        <charset val="128"/>
      </rPr>
      <t>］</t>
    </r>
  </si>
  <si>
    <r>
      <t>［</t>
    </r>
    <r>
      <rPr>
        <sz val="11"/>
        <rFont val="ＭＳ Ｐゴシック"/>
        <family val="3"/>
        <charset val="128"/>
      </rPr>
      <t>宿泊費・日当</t>
    </r>
    <r>
      <rPr>
        <b/>
        <sz val="11"/>
        <rFont val="ＭＳ Ｐゴシック"/>
        <family val="3"/>
        <charset val="128"/>
      </rPr>
      <t>］</t>
    </r>
  </si>
  <si>
    <t>そ の 他</t>
    <phoneticPr fontId="24"/>
  </si>
  <si>
    <t>印</t>
    <rPh sb="0" eb="1">
      <t>イン</t>
    </rPh>
    <phoneticPr fontId="24"/>
  </si>
  <si>
    <t>日付</t>
    <phoneticPr fontId="24"/>
  </si>
  <si>
    <t>休暇</t>
    <phoneticPr fontId="24"/>
  </si>
  <si>
    <t>-</t>
    <phoneticPr fontId="24"/>
  </si>
  <si>
    <t>私用
外出</t>
    <rPh sb="0" eb="2">
      <t>シヨウ</t>
    </rPh>
    <rPh sb="3" eb="5">
      <t>ガイシュツ</t>
    </rPh>
    <phoneticPr fontId="24"/>
  </si>
  <si>
    <t>氏　名：</t>
    <phoneticPr fontId="24"/>
  </si>
  <si>
    <t>稼動日数</t>
    <rPh sb="0" eb="2">
      <t>カドウ</t>
    </rPh>
    <rPh sb="2" eb="4">
      <t>ニッスウ</t>
    </rPh>
    <phoneticPr fontId="24"/>
  </si>
  <si>
    <t>稼働日数</t>
    <rPh sb="0" eb="2">
      <t>カドウ</t>
    </rPh>
    <phoneticPr fontId="24"/>
  </si>
  <si>
    <t>昼</t>
    <rPh sb="0" eb="1">
      <t>ヒル</t>
    </rPh>
    <phoneticPr fontId="24"/>
  </si>
  <si>
    <t>富士ソフト株式会社</t>
    <rPh sb="0" eb="2">
      <t>フジ</t>
    </rPh>
    <rPh sb="5" eb="9">
      <t>カブ</t>
    </rPh>
    <phoneticPr fontId="24"/>
  </si>
  <si>
    <t>お客様先勤怠</t>
    <rPh sb="1" eb="3">
      <t>キャクサマ</t>
    </rPh>
    <rPh sb="3" eb="4">
      <t>サキ</t>
    </rPh>
    <rPh sb="4" eb="6">
      <t>キンタイ</t>
    </rPh>
    <phoneticPr fontId="24"/>
  </si>
  <si>
    <t>作業時間報告書(Ⅱ)</t>
    <rPh sb="0" eb="2">
      <t>サギョウ</t>
    </rPh>
    <rPh sb="2" eb="4">
      <t>ジカン</t>
    </rPh>
    <rPh sb="4" eb="7">
      <t>ホウコクショ</t>
    </rPh>
    <phoneticPr fontId="24"/>
  </si>
  <si>
    <t>町田駅</t>
    <rPh sb="0" eb="2">
      <t>マチダ</t>
    </rPh>
    <rPh sb="2" eb="3">
      <t>エキ</t>
    </rPh>
    <phoneticPr fontId="24"/>
  </si>
  <si>
    <t>新横浜駅</t>
    <rPh sb="0" eb="1">
      <t>シン</t>
    </rPh>
    <rPh sb="1" eb="4">
      <t>ヨコハマエキ</t>
    </rPh>
    <phoneticPr fontId="24"/>
  </si>
  <si>
    <t>新幹線</t>
    <rPh sb="0" eb="3">
      <t>シンカンセン</t>
    </rPh>
    <phoneticPr fontId="24"/>
  </si>
  <si>
    <t>新大阪駅</t>
    <rPh sb="0" eb="4">
      <t>シンオオサカエキ</t>
    </rPh>
    <phoneticPr fontId="24"/>
  </si>
  <si>
    <t>大阪国際展示場</t>
    <rPh sb="0" eb="2">
      <t>オオサカ</t>
    </rPh>
    <rPh sb="2" eb="4">
      <t>コクサイ</t>
    </rPh>
    <rPh sb="4" eb="7">
      <t>テンジジョウ</t>
    </rPh>
    <phoneticPr fontId="24"/>
  </si>
  <si>
    <t>ソフトウェア展示会出席の為</t>
    <rPh sb="6" eb="8">
      <t>テンジ</t>
    </rPh>
    <rPh sb="8" eb="9">
      <t>カイ</t>
    </rPh>
    <rPh sb="9" eb="11">
      <t>シュッセキ</t>
    </rPh>
    <rPh sb="12" eb="13">
      <t>タメ</t>
    </rPh>
    <phoneticPr fontId="24"/>
  </si>
  <si>
    <t>お客様先勤怠1</t>
    <rPh sb="1" eb="3">
      <t>キャクサマ</t>
    </rPh>
    <rPh sb="3" eb="4">
      <t>サキ</t>
    </rPh>
    <rPh sb="4" eb="6">
      <t>キンタイ</t>
    </rPh>
    <phoneticPr fontId="24"/>
  </si>
  <si>
    <t>お客様先勤怠2</t>
    <rPh sb="1" eb="3">
      <t>キャクサマ</t>
    </rPh>
    <rPh sb="3" eb="4">
      <t>サキ</t>
    </rPh>
    <rPh sb="4" eb="6">
      <t>キンタイ</t>
    </rPh>
    <phoneticPr fontId="24"/>
  </si>
  <si>
    <t>お客様先勤怠3</t>
    <rPh sb="1" eb="3">
      <t>キャクサマ</t>
    </rPh>
    <rPh sb="3" eb="4">
      <t>サキ</t>
    </rPh>
    <rPh sb="4" eb="6">
      <t>キンタイ</t>
    </rPh>
    <phoneticPr fontId="24"/>
  </si>
  <si>
    <t>お客様先勤怠4</t>
    <rPh sb="1" eb="3">
      <t>キャクサマ</t>
    </rPh>
    <rPh sb="3" eb="4">
      <t>サキ</t>
    </rPh>
    <rPh sb="4" eb="6">
      <t>キンタイ</t>
    </rPh>
    <phoneticPr fontId="24"/>
  </si>
  <si>
    <t>お客様先勤怠5</t>
    <rPh sb="1" eb="3">
      <t>キャクサマ</t>
    </rPh>
    <rPh sb="3" eb="4">
      <t>サキ</t>
    </rPh>
    <rPh sb="4" eb="6">
      <t>キンタイ</t>
    </rPh>
    <phoneticPr fontId="24"/>
  </si>
  <si>
    <t>お客様先勤怠6</t>
    <rPh sb="1" eb="3">
      <t>キャクサマ</t>
    </rPh>
    <rPh sb="3" eb="4">
      <t>サキ</t>
    </rPh>
    <rPh sb="4" eb="6">
      <t>キンタイ</t>
    </rPh>
    <phoneticPr fontId="24"/>
  </si>
  <si>
    <t>お客様先勤怠7</t>
    <rPh sb="1" eb="3">
      <t>キャクサマ</t>
    </rPh>
    <rPh sb="3" eb="4">
      <t>サキ</t>
    </rPh>
    <rPh sb="4" eb="6">
      <t>キンタイ</t>
    </rPh>
    <phoneticPr fontId="24"/>
  </si>
  <si>
    <t>お客様先勤怠8</t>
    <rPh sb="1" eb="3">
      <t>キャクサマ</t>
    </rPh>
    <rPh sb="3" eb="4">
      <t>サキ</t>
    </rPh>
    <rPh sb="4" eb="6">
      <t>キンタイ</t>
    </rPh>
    <phoneticPr fontId="24"/>
  </si>
  <si>
    <t>お客様先勤怠9</t>
    <rPh sb="1" eb="3">
      <t>キャクサマ</t>
    </rPh>
    <rPh sb="3" eb="4">
      <t>サキ</t>
    </rPh>
    <rPh sb="4" eb="6">
      <t>キンタイ</t>
    </rPh>
    <phoneticPr fontId="24"/>
  </si>
  <si>
    <t>お客様先勤怠10</t>
    <rPh sb="1" eb="3">
      <t>キャクサマ</t>
    </rPh>
    <rPh sb="3" eb="4">
      <t>サキ</t>
    </rPh>
    <rPh sb="4" eb="6">
      <t>キンタイ</t>
    </rPh>
    <phoneticPr fontId="24"/>
  </si>
  <si>
    <t>お客様先勤怠11</t>
    <rPh sb="1" eb="3">
      <t>キャクサマ</t>
    </rPh>
    <rPh sb="3" eb="4">
      <t>サキ</t>
    </rPh>
    <rPh sb="4" eb="6">
      <t>キンタイ</t>
    </rPh>
    <phoneticPr fontId="24"/>
  </si>
  <si>
    <t>お客様先勤怠12</t>
    <rPh sb="1" eb="3">
      <t>キャクサマ</t>
    </rPh>
    <rPh sb="3" eb="4">
      <t>サキ</t>
    </rPh>
    <rPh sb="4" eb="6">
      <t>キンタイ</t>
    </rPh>
    <phoneticPr fontId="24"/>
  </si>
  <si>
    <t>お客様先勤怠13</t>
    <rPh sb="1" eb="3">
      <t>キャクサマ</t>
    </rPh>
    <rPh sb="3" eb="4">
      <t>サキ</t>
    </rPh>
    <rPh sb="4" eb="6">
      <t>キンタイ</t>
    </rPh>
    <phoneticPr fontId="24"/>
  </si>
  <si>
    <t>お客様先勤怠14</t>
    <rPh sb="1" eb="3">
      <t>キャクサマ</t>
    </rPh>
    <rPh sb="3" eb="4">
      <t>サキ</t>
    </rPh>
    <rPh sb="4" eb="6">
      <t>キンタイ</t>
    </rPh>
    <phoneticPr fontId="24"/>
  </si>
  <si>
    <t>お客様先勤怠15</t>
    <rPh sb="1" eb="3">
      <t>キャクサマ</t>
    </rPh>
    <rPh sb="3" eb="4">
      <t>サキ</t>
    </rPh>
    <rPh sb="4" eb="6">
      <t>キンタイ</t>
    </rPh>
    <phoneticPr fontId="24"/>
  </si>
  <si>
    <t>お客様先勤怠16</t>
    <rPh sb="1" eb="3">
      <t>キャクサマ</t>
    </rPh>
    <rPh sb="3" eb="4">
      <t>サキ</t>
    </rPh>
    <rPh sb="4" eb="6">
      <t>キンタイ</t>
    </rPh>
    <phoneticPr fontId="24"/>
  </si>
  <si>
    <t>お客様先勤怠17</t>
    <rPh sb="1" eb="3">
      <t>キャクサマ</t>
    </rPh>
    <rPh sb="3" eb="4">
      <t>サキ</t>
    </rPh>
    <rPh sb="4" eb="6">
      <t>キンタイ</t>
    </rPh>
    <phoneticPr fontId="24"/>
  </si>
  <si>
    <t>お客様先勤怠18</t>
    <rPh sb="1" eb="3">
      <t>キャクサマ</t>
    </rPh>
    <rPh sb="3" eb="4">
      <t>サキ</t>
    </rPh>
    <rPh sb="4" eb="6">
      <t>キンタイ</t>
    </rPh>
    <phoneticPr fontId="24"/>
  </si>
  <si>
    <t>お客様先勤怠19</t>
    <rPh sb="1" eb="3">
      <t>キャクサマ</t>
    </rPh>
    <rPh sb="3" eb="4">
      <t>サキ</t>
    </rPh>
    <rPh sb="4" eb="6">
      <t>キンタイ</t>
    </rPh>
    <phoneticPr fontId="24"/>
  </si>
  <si>
    <t>■作業時間報告書入力方法■</t>
    <rPh sb="1" eb="3">
      <t>サギョウ</t>
    </rPh>
    <rPh sb="3" eb="5">
      <t>ジカン</t>
    </rPh>
    <rPh sb="5" eb="8">
      <t>ホウコクショ</t>
    </rPh>
    <phoneticPr fontId="24"/>
  </si>
  <si>
    <t>実作業</t>
  </si>
  <si>
    <t>実作業
累計</t>
    <rPh sb="4" eb="6">
      <t>ルイケイ</t>
    </rPh>
    <phoneticPr fontId="24"/>
  </si>
  <si>
    <t>実作業</t>
    <phoneticPr fontId="24"/>
  </si>
  <si>
    <t>実作業時間は、実行時間から自動的に計算されます。</t>
  </si>
  <si>
    <t>FUJISOFT979_Ver5.00</t>
    <phoneticPr fontId="24"/>
  </si>
  <si>
    <t>出張費が発生した場合、本項目を選択し作成後、入力して下さい。</t>
  </si>
  <si>
    <t>別途出張が発生した場合は、再度本項目を選択し新たに出張費明細書を作成後、入力して下さい。</t>
  </si>
  <si>
    <t>休憩補正</t>
    <rPh sb="0" eb="2">
      <t>キュウケイ</t>
    </rPh>
    <rPh sb="2" eb="4">
      <t>ホセイ</t>
    </rPh>
    <phoneticPr fontId="24"/>
  </si>
  <si>
    <t xml:space="preserve">印 </t>
    <phoneticPr fontId="24"/>
  </si>
  <si>
    <t>私用での外出など、作業時間帯に作業を行わなかった時間数を入力して下さい。</t>
    <rPh sb="4" eb="6">
      <t>ガイシュツ</t>
    </rPh>
    <rPh sb="9" eb="11">
      <t>サギョウ</t>
    </rPh>
    <rPh sb="11" eb="14">
      <t>ジカンタイ</t>
    </rPh>
    <rPh sb="15" eb="17">
      <t>サギョウ</t>
    </rPh>
    <rPh sb="18" eb="19">
      <t>オコナ</t>
    </rPh>
    <rPh sb="24" eb="26">
      <t>ジカン</t>
    </rPh>
    <rPh sb="26" eb="27">
      <t>スウ</t>
    </rPh>
    <rPh sb="28" eb="30">
      <t>ニュウリョク</t>
    </rPh>
    <rPh sb="32" eb="33">
      <t>クダ</t>
    </rPh>
    <phoneticPr fontId="24"/>
  </si>
  <si>
    <t>報告</t>
    <rPh sb="0" eb="2">
      <t>ホウコク</t>
    </rPh>
    <phoneticPr fontId="24"/>
  </si>
  <si>
    <t>再度本項目を選択し、新たに同月の作業時間報告書を作成後、入力して下さい。</t>
    <rPh sb="10" eb="11">
      <t>アラ</t>
    </rPh>
    <rPh sb="16" eb="18">
      <t>サギョウ</t>
    </rPh>
    <rPh sb="18" eb="20">
      <t>ジカン</t>
    </rPh>
    <rPh sb="20" eb="22">
      <t>ホウコク</t>
    </rPh>
    <rPh sb="22" eb="23">
      <t>ショ</t>
    </rPh>
    <phoneticPr fontId="24"/>
  </si>
  <si>
    <t>○</t>
    <phoneticPr fontId="24"/>
  </si>
  <si>
    <t>・</t>
    <phoneticPr fontId="24"/>
  </si>
  <si>
    <t>移動交通費が発生した場合、本項目を選択し作成後、入力して下さい。</t>
    <phoneticPr fontId="24"/>
  </si>
  <si>
    <t>入力行が足りなくなった場合は、再度本項目を選択し新たに交通費明細書を作成後、入力して下さい。</t>
    <phoneticPr fontId="24"/>
  </si>
  <si>
    <t>登録番号単位での入力となる為、月途中で登録番号が変わる場合は、登録番号を入力後、</t>
    <phoneticPr fontId="24"/>
  </si>
  <si>
    <t>再度本項目を選択し、新たに同月の交通費明細書を作成後、入力して下さい。</t>
    <rPh sb="10" eb="11">
      <t>アラ</t>
    </rPh>
    <rPh sb="16" eb="19">
      <t>コウツウヒ</t>
    </rPh>
    <rPh sb="19" eb="21">
      <t>メイサイ</t>
    </rPh>
    <rPh sb="21" eb="22">
      <t>ショ</t>
    </rPh>
    <phoneticPr fontId="24"/>
  </si>
  <si>
    <t>登録番号変更の有無は、所属長に確認して下さい。</t>
    <phoneticPr fontId="24"/>
  </si>
  <si>
    <t>○</t>
    <phoneticPr fontId="24"/>
  </si>
  <si>
    <t>・</t>
    <phoneticPr fontId="24"/>
  </si>
  <si>
    <t>※登録番号変更の有無は、所属長に確認して下さい。</t>
    <phoneticPr fontId="24"/>
  </si>
  <si>
    <t>【祝日テーブルの設定】</t>
    <phoneticPr fontId="24"/>
  </si>
  <si>
    <t>ボタン「祝日テーブルの変更」を押下して設定します。</t>
    <rPh sb="11" eb="13">
      <t>ヘンコウ</t>
    </rPh>
    <rPh sb="15" eb="17">
      <t>オウカ</t>
    </rPh>
    <rPh sb="19" eb="21">
      <t>セッテイ</t>
    </rPh>
    <phoneticPr fontId="24"/>
  </si>
  <si>
    <t>祝日設定後、ボタン「確定」を押下して下さい。</t>
    <rPh sb="0" eb="1">
      <t>シュク</t>
    </rPh>
    <rPh sb="1" eb="2">
      <t>ヒ</t>
    </rPh>
    <rPh sb="2" eb="4">
      <t>セッテイ</t>
    </rPh>
    <rPh sb="4" eb="5">
      <t>ゴ</t>
    </rPh>
    <rPh sb="10" eb="12">
      <t>カクテイ</t>
    </rPh>
    <rPh sb="14" eb="16">
      <t>オウカ</t>
    </rPh>
    <rPh sb="18" eb="19">
      <t>クダ</t>
    </rPh>
    <phoneticPr fontId="24"/>
  </si>
  <si>
    <t>※</t>
    <phoneticPr fontId="24"/>
  </si>
  <si>
    <t>実行時間は、開始時間と終了時間60進法（24時間表記）で入力します。</t>
    <rPh sb="6" eb="8">
      <t>カイシ</t>
    </rPh>
    <rPh sb="8" eb="10">
      <t>ジカン</t>
    </rPh>
    <rPh sb="11" eb="13">
      <t>シュウリョウ</t>
    </rPh>
    <rPh sb="13" eb="15">
      <t>ジカン</t>
    </rPh>
    <rPh sb="17" eb="19">
      <t>シンホウ</t>
    </rPh>
    <rPh sb="22" eb="24">
      <t>ジカン</t>
    </rPh>
    <rPh sb="24" eb="26">
      <t>ヒョウキ</t>
    </rPh>
    <rPh sb="28" eb="30">
      <t>ニュウリョク</t>
    </rPh>
    <phoneticPr fontId="24"/>
  </si>
  <si>
    <t>時と分の間は、必ずセミコロン（：）を入力して下さい。</t>
    <rPh sb="0" eb="1">
      <t>ジ</t>
    </rPh>
    <rPh sb="2" eb="3">
      <t>フン</t>
    </rPh>
    <rPh sb="4" eb="5">
      <t>アイダ</t>
    </rPh>
    <rPh sb="7" eb="8">
      <t>カナラ</t>
    </rPh>
    <rPh sb="18" eb="20">
      <t>ニュウリョク</t>
    </rPh>
    <rPh sb="22" eb="23">
      <t>クダ</t>
    </rPh>
    <phoneticPr fontId="24"/>
  </si>
  <si>
    <t>　</t>
    <phoneticPr fontId="24"/>
  </si>
  <si>
    <t>入力時間帯は、朝7：00～翌日の朝7：00までとなります。</t>
    <rPh sb="0" eb="2">
      <t>ニュウリョク</t>
    </rPh>
    <rPh sb="16" eb="17">
      <t>アサ</t>
    </rPh>
    <phoneticPr fontId="24"/>
  </si>
  <si>
    <t>入力例：</t>
    <rPh sb="0" eb="2">
      <t>ニュウリョク</t>
    </rPh>
    <rPh sb="2" eb="3">
      <t>レイ</t>
    </rPh>
    <phoneticPr fontId="24"/>
  </si>
  <si>
    <t>朝9時</t>
    <rPh sb="0" eb="1">
      <t>アサ</t>
    </rPh>
    <rPh sb="2" eb="3">
      <t>ジ</t>
    </rPh>
    <phoneticPr fontId="24"/>
  </si>
  <si>
    <t>　9：00</t>
    <phoneticPr fontId="24"/>
  </si>
  <si>
    <t>夜10時</t>
    <rPh sb="0" eb="1">
      <t>ヨル</t>
    </rPh>
    <rPh sb="3" eb="4">
      <t>ジ</t>
    </rPh>
    <phoneticPr fontId="24"/>
  </si>
  <si>
    <t>22：00</t>
    <phoneticPr fontId="24"/>
  </si>
  <si>
    <t>深夜0時</t>
    <rPh sb="0" eb="2">
      <t>シンヤ</t>
    </rPh>
    <rPh sb="3" eb="4">
      <t>ジ</t>
    </rPh>
    <phoneticPr fontId="24"/>
  </si>
  <si>
    <t>24：00</t>
    <phoneticPr fontId="24"/>
  </si>
  <si>
    <t>深夜2時</t>
    <rPh sb="0" eb="2">
      <t>シンヤ</t>
    </rPh>
    <rPh sb="3" eb="4">
      <t>ジ</t>
    </rPh>
    <phoneticPr fontId="24"/>
  </si>
  <si>
    <t>26：00</t>
    <phoneticPr fontId="24"/>
  </si>
  <si>
    <t>　</t>
    <phoneticPr fontId="24"/>
  </si>
  <si>
    <t>19：00～20:00（1時間）が休憩時間となります。</t>
    <phoneticPr fontId="24"/>
  </si>
  <si>
    <t>　</t>
    <phoneticPr fontId="24"/>
  </si>
  <si>
    <t>　</t>
    <phoneticPr fontId="24"/>
  </si>
  <si>
    <t>　　</t>
    <phoneticPr fontId="24"/>
  </si>
  <si>
    <t>【休憩補正】</t>
    <rPh sb="3" eb="5">
      <t>ホセイ</t>
    </rPh>
    <phoneticPr fontId="24"/>
  </si>
  <si>
    <t>但し、法律上、作業を行った時間に対し最低限休憩を取らなければならない時間が決まっています。</t>
    <rPh sb="0" eb="1">
      <t>タダ</t>
    </rPh>
    <phoneticPr fontId="24"/>
  </si>
  <si>
    <t>上記により休憩補正出来ない場合は、赤く表示され休憩補正時間の計算は行なわれません。</t>
    <rPh sb="0" eb="2">
      <t>ジョウキ</t>
    </rPh>
    <rPh sb="5" eb="7">
      <t>キュウケイ</t>
    </rPh>
    <rPh sb="7" eb="9">
      <t>ホセイ</t>
    </rPh>
    <rPh sb="25" eb="27">
      <t>ホセイ</t>
    </rPh>
    <rPh sb="27" eb="29">
      <t>ジカン</t>
    </rPh>
    <phoneticPr fontId="24"/>
  </si>
  <si>
    <t>休憩時間帯の外出時間は含めません。</t>
    <rPh sb="0" eb="2">
      <t>キュウケイ</t>
    </rPh>
    <rPh sb="2" eb="5">
      <t>ジカンタイ</t>
    </rPh>
    <rPh sb="6" eb="8">
      <t>ガイシュツ</t>
    </rPh>
    <rPh sb="8" eb="10">
      <t>ジカン</t>
    </rPh>
    <rPh sb="11" eb="12">
      <t>フク</t>
    </rPh>
    <phoneticPr fontId="24"/>
  </si>
  <si>
    <t>【提出】</t>
    <phoneticPr fontId="24"/>
  </si>
  <si>
    <t>提出日になりましたら該当月分を全て印刷後、印欄に捺印し所属長へ提出をしてください。</t>
    <rPh sb="10" eb="12">
      <t>ガイトウ</t>
    </rPh>
    <rPh sb="12" eb="13">
      <t>ツキ</t>
    </rPh>
    <rPh sb="13" eb="14">
      <t>ブン</t>
    </rPh>
    <rPh sb="15" eb="16">
      <t>スベ</t>
    </rPh>
    <phoneticPr fontId="24"/>
  </si>
  <si>
    <t>※入力可能な文字数は、18文字までです。</t>
    <phoneticPr fontId="24"/>
  </si>
  <si>
    <t>○</t>
    <phoneticPr fontId="24"/>
  </si>
  <si>
    <r>
      <t>作業時間報告書</t>
    </r>
    <r>
      <rPr>
        <sz val="11"/>
        <rFont val="ＭＳ Ｐゴシック"/>
        <family val="3"/>
        <charset val="128"/>
      </rPr>
      <t>の作成</t>
    </r>
    <phoneticPr fontId="24"/>
  </si>
  <si>
    <t>・</t>
    <phoneticPr fontId="24"/>
  </si>
  <si>
    <t>作業時間入力用フォーマット（富士ソフトの作業時間帯）を作成します。</t>
    <phoneticPr fontId="24"/>
  </si>
  <si>
    <t>登録番号単位での入力となる為、月途中で登録番号が変わる場合は、登録番号を入力後、</t>
    <phoneticPr fontId="24"/>
  </si>
  <si>
    <t>氏　名</t>
    <phoneticPr fontId="24"/>
  </si>
  <si>
    <t>印</t>
    <phoneticPr fontId="24"/>
  </si>
  <si>
    <t>日付</t>
    <phoneticPr fontId="24"/>
  </si>
  <si>
    <t>日付、行き先、目的、交通機関、区間、片道／往復、金額の全項目について入力して下さい。</t>
    <phoneticPr fontId="24"/>
  </si>
  <si>
    <t>　</t>
    <phoneticPr fontId="24"/>
  </si>
  <si>
    <t>日付は、XX/XX/XX (年/月/日)、またはXX/XX (月/日)で入力して下さい。</t>
    <phoneticPr fontId="24"/>
  </si>
  <si>
    <t>　</t>
    <phoneticPr fontId="24"/>
  </si>
  <si>
    <t>提出日になりましたら印刷後、印欄に捺印し所属長へ提出をして下さい。</t>
    <phoneticPr fontId="24"/>
  </si>
  <si>
    <t>この場合は、宿泊費の内訳（一般宿泊）に泊数は”１泊”として、＠（単価）に”宿泊費の総額”を記入し、</t>
    <phoneticPr fontId="24"/>
  </si>
  <si>
    <t>備考欄に”宿泊費は実費精算の為、宿泊費総額（ＸＸ泊分）で記入”と但し書きを記入して下さい。</t>
    <phoneticPr fontId="24"/>
  </si>
  <si>
    <t>交通機関</t>
    <phoneticPr fontId="24"/>
  </si>
  <si>
    <t>着     駅</t>
    <phoneticPr fontId="24"/>
  </si>
  <si>
    <t>JR</t>
    <phoneticPr fontId="24"/>
  </si>
  <si>
    <t>JR</t>
    <phoneticPr fontId="24"/>
  </si>
  <si>
    <t>タクシー</t>
    <phoneticPr fontId="24"/>
  </si>
  <si>
    <t>タクシー</t>
    <phoneticPr fontId="24"/>
  </si>
  <si>
    <t>ホテルニューオータニ</t>
    <phoneticPr fontId="24"/>
  </si>
  <si>
    <t>JR</t>
    <phoneticPr fontId="24"/>
  </si>
  <si>
    <t xml:space="preserve"> 小　計</t>
    <phoneticPr fontId="24"/>
  </si>
  <si>
    <r>
      <t>G</t>
    </r>
    <r>
      <rPr>
        <sz val="11"/>
        <rFont val="ＭＳ Ｐゴシック"/>
        <family val="3"/>
        <charset val="128"/>
      </rPr>
      <t>38</t>
    </r>
    <phoneticPr fontId="24"/>
  </si>
  <si>
    <t>4448AHE1</t>
    <phoneticPr fontId="24"/>
  </si>
  <si>
    <t>TEL：</t>
    <phoneticPr fontId="24"/>
  </si>
  <si>
    <t>休憩時間帯に作業を行った時間を入力して下さい。</t>
    <rPh sb="0" eb="2">
      <t>キュウケイ</t>
    </rPh>
    <rPh sb="2" eb="5">
      <t>ジカンタイ</t>
    </rPh>
    <rPh sb="6" eb="8">
      <t>サギョウ</t>
    </rPh>
    <rPh sb="9" eb="10">
      <t>オコナ</t>
    </rPh>
    <rPh sb="12" eb="14">
      <t>ジカン</t>
    </rPh>
    <rPh sb="15" eb="17">
      <t>ニュウリョク</t>
    </rPh>
    <rPh sb="19" eb="20">
      <t>クダ</t>
    </rPh>
    <phoneticPr fontId="24"/>
  </si>
  <si>
    <t>憲法記念日</t>
    <rPh sb="0" eb="2">
      <t>ケンポウ</t>
    </rPh>
    <rPh sb="2" eb="5">
      <t>キネンビ</t>
    </rPh>
    <phoneticPr fontId="24"/>
  </si>
  <si>
    <t>成人の日</t>
    <rPh sb="0" eb="2">
      <t>セイジン</t>
    </rPh>
    <rPh sb="3" eb="4">
      <t>ヒ</t>
    </rPh>
    <phoneticPr fontId="24"/>
  </si>
  <si>
    <t>日付</t>
    <rPh sb="0" eb="2">
      <t>ヒヅケ</t>
    </rPh>
    <phoneticPr fontId="24"/>
  </si>
  <si>
    <t>変更履歴</t>
    <rPh sb="0" eb="2">
      <t>ヘンコウ</t>
    </rPh>
    <rPh sb="2" eb="4">
      <t>リレキ</t>
    </rPh>
    <phoneticPr fontId="24"/>
  </si>
  <si>
    <t>概要</t>
    <rPh sb="0" eb="2">
      <t>ガイヨウ</t>
    </rPh>
    <phoneticPr fontId="24"/>
  </si>
  <si>
    <t>詳細</t>
    <rPh sb="0" eb="2">
      <t>ショウサイ</t>
    </rPh>
    <phoneticPr fontId="24"/>
  </si>
  <si>
    <t>対応者</t>
    <phoneticPr fontId="24"/>
  </si>
  <si>
    <t>VerRev</t>
    <phoneticPr fontId="24"/>
  </si>
  <si>
    <t>後藤</t>
    <rPh sb="0" eb="2">
      <t>ゴトウ</t>
    </rPh>
    <phoneticPr fontId="24"/>
  </si>
  <si>
    <t>タイムテーブル修正</t>
    <rPh sb="7" eb="9">
      <t>シュウセイ</t>
    </rPh>
    <phoneticPr fontId="24"/>
  </si>
  <si>
    <t>勤務開始時間を0時から7時に変更</t>
    <rPh sb="0" eb="2">
      <t>キンム</t>
    </rPh>
    <rPh sb="2" eb="4">
      <t>カイシ</t>
    </rPh>
    <rPh sb="4" eb="6">
      <t>ジカン</t>
    </rPh>
    <rPh sb="8" eb="9">
      <t>ジ</t>
    </rPh>
    <rPh sb="12" eb="13">
      <t>ジ</t>
    </rPh>
    <rPh sb="14" eb="16">
      <t>ヘンコウ</t>
    </rPh>
    <phoneticPr fontId="24"/>
  </si>
  <si>
    <t>タイムテーブル仕様変更</t>
    <rPh sb="7" eb="9">
      <t>シヨウ</t>
    </rPh>
    <rPh sb="9" eb="11">
      <t>ヘンコウ</t>
    </rPh>
    <phoneticPr fontId="24"/>
  </si>
  <si>
    <t>マトリックスから計算式に変更</t>
    <rPh sb="8" eb="10">
      <t>ケイサン</t>
    </rPh>
    <rPh sb="10" eb="11">
      <t>シキ</t>
    </rPh>
    <rPh sb="12" eb="14">
      <t>ヘンコウ</t>
    </rPh>
    <phoneticPr fontId="24"/>
  </si>
  <si>
    <t>深夜作業計算式修正</t>
    <rPh sb="0" eb="2">
      <t>シンヤ</t>
    </rPh>
    <rPh sb="2" eb="4">
      <t>サギョウ</t>
    </rPh>
    <rPh sb="4" eb="6">
      <t>ケイサン</t>
    </rPh>
    <rPh sb="6" eb="7">
      <t>シキ</t>
    </rPh>
    <rPh sb="7" eb="9">
      <t>シュウセイ</t>
    </rPh>
    <phoneticPr fontId="24"/>
  </si>
  <si>
    <t>深夜の計算式に不具合があったものを修正</t>
    <rPh sb="0" eb="2">
      <t>シンヤ</t>
    </rPh>
    <rPh sb="3" eb="6">
      <t>ケイサンシキ</t>
    </rPh>
    <rPh sb="7" eb="10">
      <t>フグアイ</t>
    </rPh>
    <rPh sb="17" eb="19">
      <t>シュウセイ</t>
    </rPh>
    <phoneticPr fontId="24"/>
  </si>
  <si>
    <t>付加休憩
開始</t>
    <rPh sb="0" eb="2">
      <t>フカ</t>
    </rPh>
    <rPh sb="2" eb="4">
      <t>キュウケイ</t>
    </rPh>
    <rPh sb="5" eb="7">
      <t>カイシ</t>
    </rPh>
    <phoneticPr fontId="24"/>
  </si>
  <si>
    <t>付加休暇</t>
    <rPh sb="0" eb="2">
      <t>フカ</t>
    </rPh>
    <rPh sb="2" eb="4">
      <t>キュウカ</t>
    </rPh>
    <phoneticPr fontId="24"/>
  </si>
  <si>
    <t>最低休暇時間</t>
    <rPh sb="0" eb="2">
      <t>サイテイ</t>
    </rPh>
    <rPh sb="2" eb="4">
      <t>キュウカ</t>
    </rPh>
    <rPh sb="4" eb="6">
      <t>ジカン</t>
    </rPh>
    <phoneticPr fontId="24"/>
  </si>
  <si>
    <t>勤怠タイプ：</t>
    <rPh sb="0" eb="2">
      <t>キンタイ</t>
    </rPh>
    <phoneticPr fontId="24"/>
  </si>
  <si>
    <t>http://www.houko.com/00/01/S22/049.HTM#s4</t>
    <phoneticPr fontId="24"/>
  </si>
  <si>
    <r>
      <t>第34条</t>
    </r>
    <r>
      <rPr>
        <sz val="16"/>
        <color indexed="8"/>
        <rFont val="Ms pgothic"/>
        <family val="3"/>
        <charset val="128"/>
      </rPr>
      <t>　使用者は、労働時間が６時間を超える場合においては少くとも45分、８時間を超える場合においては少くとも１時間の休憩時間を労働時間の途中に与えなければならない。</t>
    </r>
  </si>
  <si>
    <r>
      <t>以下、第36条は、通称</t>
    </r>
    <r>
      <rPr>
        <b/>
        <sz val="16"/>
        <rFont val="ＭＳ Ｐゴシック"/>
        <family val="3"/>
        <charset val="128"/>
      </rPr>
      <t>36協定</t>
    </r>
    <r>
      <rPr>
        <sz val="16"/>
        <rFont val="ＭＳ Ｐゴシック"/>
        <family val="3"/>
        <charset val="128"/>
      </rPr>
      <t>という。</t>
    </r>
    <rPh sb="0" eb="2">
      <t>イカ</t>
    </rPh>
    <rPh sb="3" eb="4">
      <t>ダイ</t>
    </rPh>
    <rPh sb="6" eb="7">
      <t>ジョウ</t>
    </rPh>
    <rPh sb="9" eb="11">
      <t>ツウショウ</t>
    </rPh>
    <rPh sb="13" eb="15">
      <t>キョウテイ</t>
    </rPh>
    <phoneticPr fontId="24"/>
  </si>
  <si>
    <r>
      <t>第36条</t>
    </r>
    <r>
      <rPr>
        <sz val="16"/>
        <color indexed="8"/>
        <rFont val="Ms pgothic"/>
        <family val="3"/>
        <charset val="128"/>
      </rPr>
      <t>　使用者は、当該事業場に、労働者の過半数で組織する労働組合がある場合においてはその労働組合、労働者の過半数で組織する労働組合がない場合においては労働者の過半数を代表する者との書面による協定をし、これを行政官庁に届け出た場合においては、第32条から第32条の５まで若しくは第40条の労働時間（以下この条において「労働時間」という。）又は前条の休日（以下この項において「休日」という。）に関する規定にかかわらず、その協定で定めるところによつて労働時間を延長し、又は休日に労働させることができる。ただし、坑内労働その他厚生労働省令で定める健康上特に有害な業務の労働時間の延長は、１日について２時間を超えてはならない。</t>
    </r>
  </si>
  <si>
    <r>
      <t>２</t>
    </r>
    <r>
      <rPr>
        <sz val="16"/>
        <color indexed="8"/>
        <rFont val="Ms pgothic"/>
        <family val="3"/>
        <charset val="128"/>
      </rPr>
      <t>　厚生労働大臣は、労働時間の延長を適正なものとするため、前項の協定で定める労働時間の延長の限度その他の必要な事項について、労働者の福祉、時間外労働の動向その他の事情を考慮して基準を定めることができる。</t>
    </r>
  </si>
  <si>
    <r>
      <t>３</t>
    </r>
    <r>
      <rPr>
        <sz val="16"/>
        <color indexed="8"/>
        <rFont val="Ms pgothic"/>
        <family val="3"/>
        <charset val="128"/>
      </rPr>
      <t>　第１項の協定をする使用者及び労働組合又は労働者の過半数を代表する者は、当該協定で労働時間の延長を定めるに当たり、当該協定の内容が前項の基準に適合したものとなるようにしなければならない。</t>
    </r>
  </si>
  <si>
    <r>
      <t>４</t>
    </r>
    <r>
      <rPr>
        <sz val="16"/>
        <color indexed="8"/>
        <rFont val="Ms pgothic"/>
        <family val="3"/>
        <charset val="128"/>
      </rPr>
      <t>　行政官庁は、第２項の基準に関し、第１項の協定をする使用者及び労働組合又は労働者の過半数を代表する者に対し、必要な助言及び指導を行うことができる。</t>
    </r>
  </si>
  <si>
    <t>作業時間の計算修正</t>
    <rPh sb="0" eb="2">
      <t>サギョウ</t>
    </rPh>
    <rPh sb="2" eb="4">
      <t>ジカン</t>
    </rPh>
    <rPh sb="5" eb="7">
      <t>ケイサン</t>
    </rPh>
    <rPh sb="7" eb="9">
      <t>シュウセイ</t>
    </rPh>
    <phoneticPr fontId="24"/>
  </si>
  <si>
    <r>
      <t>通常は19：30～20：00が休憩時間ですが、13：00～</t>
    </r>
    <r>
      <rPr>
        <sz val="11"/>
        <rFont val="ＭＳ Ｐゴシック"/>
        <family val="3"/>
        <charset val="128"/>
      </rPr>
      <t>19：00までに</t>
    </r>
    <r>
      <rPr>
        <sz val="11"/>
        <rFont val="ＭＳ Ｐゴシック"/>
        <family val="3"/>
        <charset val="128"/>
      </rPr>
      <t>作業開始した時で20：00を超えて作業する場合は、</t>
    </r>
    <rPh sb="37" eb="39">
      <t>サギョウ</t>
    </rPh>
    <rPh sb="39" eb="41">
      <t>カイシ</t>
    </rPh>
    <rPh sb="43" eb="44">
      <t>トキ</t>
    </rPh>
    <rPh sb="51" eb="52">
      <t>コ</t>
    </rPh>
    <rPh sb="54" eb="56">
      <t>サギョウ</t>
    </rPh>
    <rPh sb="58" eb="60">
      <t>バアイ</t>
    </rPh>
    <phoneticPr fontId="24"/>
  </si>
  <si>
    <t>泊日の入れ替え</t>
    <rPh sb="0" eb="1">
      <t>ハク</t>
    </rPh>
    <rPh sb="1" eb="2">
      <t>ニチ</t>
    </rPh>
    <rPh sb="3" eb="4">
      <t>イ</t>
    </rPh>
    <rPh sb="5" eb="6">
      <t>カ</t>
    </rPh>
    <phoneticPr fontId="24"/>
  </si>
  <si>
    <t>日泊から泊日に変更</t>
    <rPh sb="5" eb="6">
      <t>ニチ</t>
    </rPh>
    <rPh sb="7" eb="9">
      <t>ヘンコウ</t>
    </rPh>
    <phoneticPr fontId="24"/>
  </si>
  <si>
    <t>19:00-19:30間の計算修正</t>
    <rPh sb="11" eb="12">
      <t>カン</t>
    </rPh>
    <rPh sb="13" eb="15">
      <t>ケイサン</t>
    </rPh>
    <rPh sb="15" eb="17">
      <t>シュウセイ</t>
    </rPh>
    <phoneticPr fontId="24"/>
  </si>
  <si>
    <t>13:00以降の出社で19:00-19:30間の時間が付加されていた。</t>
    <rPh sb="5" eb="7">
      <t>イコウ</t>
    </rPh>
    <rPh sb="8" eb="10">
      <t>シュッシャ</t>
    </rPh>
    <rPh sb="22" eb="23">
      <t>カン</t>
    </rPh>
    <rPh sb="24" eb="26">
      <t>ジカン</t>
    </rPh>
    <rPh sb="27" eb="29">
      <t>フカ</t>
    </rPh>
    <phoneticPr fontId="24"/>
  </si>
  <si>
    <t>1900-2000の休憩処理もれていた</t>
    <rPh sb="10" eb="12">
      <t>キュケイ</t>
    </rPh>
    <rPh sb="12" eb="14">
      <t>ショリ</t>
    </rPh>
    <phoneticPr fontId="24"/>
  </si>
  <si>
    <t>　　作業時間6時間を超える場合は、45分の休憩を取らなければならない。</t>
    <rPh sb="4" eb="6">
      <t>ジカン</t>
    </rPh>
    <rPh sb="7" eb="9">
      <t>ジカン</t>
    </rPh>
    <rPh sb="13" eb="15">
      <t>バアイ</t>
    </rPh>
    <phoneticPr fontId="24"/>
  </si>
  <si>
    <t>　　作業時間8時間を超える場合は、60分の休憩を取らなければならない。</t>
    <rPh sb="4" eb="6">
      <t>ジカン</t>
    </rPh>
    <rPh sb="7" eb="9">
      <t>ジカン</t>
    </rPh>
    <rPh sb="10" eb="11">
      <t>コ</t>
    </rPh>
    <rPh sb="13" eb="15">
      <t>バアイ</t>
    </rPh>
    <phoneticPr fontId="24"/>
  </si>
  <si>
    <t>（労働基準法　第四章　第三十四条 ）</t>
    <phoneticPr fontId="24"/>
  </si>
  <si>
    <t>表示が切れるので表示修正</t>
    <rPh sb="0" eb="2">
      <t>ヒョウジ</t>
    </rPh>
    <rPh sb="3" eb="4">
      <t>キ</t>
    </rPh>
    <rPh sb="8" eb="10">
      <t>ヒョウジ</t>
    </rPh>
    <rPh sb="10" eb="12">
      <t>シュウセイ</t>
    </rPh>
    <phoneticPr fontId="24"/>
  </si>
  <si>
    <t>昭和の日</t>
    <rPh sb="0" eb="2">
      <t>ショウワ</t>
    </rPh>
    <rPh sb="3" eb="4">
      <t>ヒ</t>
    </rPh>
    <phoneticPr fontId="24"/>
  </si>
  <si>
    <t>平日判断</t>
    <rPh sb="0" eb="2">
      <t>ヘイジツ</t>
    </rPh>
    <rPh sb="2" eb="4">
      <t>ハンダン</t>
    </rPh>
    <phoneticPr fontId="24"/>
  </si>
  <si>
    <t>休憩補正の不可確認</t>
    <rPh sb="0" eb="2">
      <t>キュウケイ</t>
    </rPh>
    <rPh sb="2" eb="4">
      <t>ホセイ</t>
    </rPh>
    <rPh sb="5" eb="7">
      <t>フカ</t>
    </rPh>
    <rPh sb="7" eb="9">
      <t>カクニン</t>
    </rPh>
    <phoneticPr fontId="24"/>
  </si>
  <si>
    <t>入力した実行時間開始時間(分)</t>
    <rPh sb="0" eb="2">
      <t>ニュウリョク</t>
    </rPh>
    <rPh sb="4" eb="6">
      <t>ジッコウ</t>
    </rPh>
    <rPh sb="6" eb="8">
      <t>ジカン</t>
    </rPh>
    <rPh sb="8" eb="10">
      <t>カイシ</t>
    </rPh>
    <rPh sb="10" eb="12">
      <t>ジカン</t>
    </rPh>
    <rPh sb="13" eb="14">
      <t>フン</t>
    </rPh>
    <phoneticPr fontId="24"/>
  </si>
  <si>
    <t>時刻単位で丸めた開始時間(分)</t>
    <rPh sb="5" eb="6">
      <t>マル</t>
    </rPh>
    <rPh sb="8" eb="10">
      <t>カイシ</t>
    </rPh>
    <rPh sb="10" eb="12">
      <t>ジカン</t>
    </rPh>
    <phoneticPr fontId="24"/>
  </si>
  <si>
    <t>入力した実行時間終了時間(分)</t>
    <rPh sb="0" eb="2">
      <t>ニュウリョク</t>
    </rPh>
    <rPh sb="4" eb="6">
      <t>ジッコウ</t>
    </rPh>
    <rPh sb="6" eb="8">
      <t>ジカン</t>
    </rPh>
    <rPh sb="8" eb="10">
      <t>シュウリョウ</t>
    </rPh>
    <rPh sb="10" eb="12">
      <t>ジカン</t>
    </rPh>
    <phoneticPr fontId="24"/>
  </si>
  <si>
    <t>時刻単位で丸めた終了時間(分)</t>
    <rPh sb="5" eb="6">
      <t>マル</t>
    </rPh>
    <rPh sb="8" eb="10">
      <t>シュウリョウ</t>
    </rPh>
    <rPh sb="10" eb="12">
      <t>ジカン</t>
    </rPh>
    <phoneticPr fontId="24"/>
  </si>
  <si>
    <t>始業時刻前の稼働時間(分)</t>
    <rPh sb="4" eb="5">
      <t>マエ</t>
    </rPh>
    <rPh sb="6" eb="8">
      <t>カドウ</t>
    </rPh>
    <rPh sb="8" eb="10">
      <t>ジカン</t>
    </rPh>
    <phoneticPr fontId="24"/>
  </si>
  <si>
    <t>始業時刻以降の稼働開始時間(分)</t>
    <rPh sb="4" eb="6">
      <t>イコウ</t>
    </rPh>
    <rPh sb="7" eb="9">
      <t>カドウ</t>
    </rPh>
    <rPh sb="9" eb="11">
      <t>カイシ</t>
    </rPh>
    <rPh sb="11" eb="13">
      <t>ジカン</t>
    </rPh>
    <phoneticPr fontId="24"/>
  </si>
  <si>
    <t>休憩１始迄の作業最終時間(分)</t>
    <rPh sb="4" eb="5">
      <t>マデ</t>
    </rPh>
    <rPh sb="6" eb="8">
      <t>サギョウ</t>
    </rPh>
    <rPh sb="8" eb="10">
      <t>サイシュウ</t>
    </rPh>
    <rPh sb="10" eb="12">
      <t>ジカン</t>
    </rPh>
    <phoneticPr fontId="24"/>
  </si>
  <si>
    <t>始業時刻～休憩１始
稼働時間(分)</t>
    <rPh sb="10" eb="12">
      <t>カドウ</t>
    </rPh>
    <rPh sb="12" eb="14">
      <t>ジカン</t>
    </rPh>
    <phoneticPr fontId="24"/>
  </si>
  <si>
    <t>休憩１終以降の稼働開始時間(分)</t>
    <rPh sb="4" eb="6">
      <t>イコウ</t>
    </rPh>
    <rPh sb="7" eb="9">
      <t>カドウ</t>
    </rPh>
    <rPh sb="9" eb="11">
      <t>カイシ</t>
    </rPh>
    <rPh sb="11" eb="13">
      <t>ジカン</t>
    </rPh>
    <phoneticPr fontId="24"/>
  </si>
  <si>
    <t>休憩2始迄の作業最終時間(分)</t>
    <rPh sb="4" eb="5">
      <t>マデ</t>
    </rPh>
    <rPh sb="6" eb="8">
      <t>サギョウ</t>
    </rPh>
    <rPh sb="8" eb="10">
      <t>サイシュウ</t>
    </rPh>
    <rPh sb="10" eb="12">
      <t>ジカン</t>
    </rPh>
    <phoneticPr fontId="24"/>
  </si>
  <si>
    <t>休憩１終～休憩2始
稼働時間(分)</t>
    <rPh sb="10" eb="12">
      <t>カドウ</t>
    </rPh>
    <rPh sb="12" eb="14">
      <t>ジカン</t>
    </rPh>
    <phoneticPr fontId="24"/>
  </si>
  <si>
    <t>社員向け法休確認</t>
    <rPh sb="0" eb="2">
      <t>シャイン</t>
    </rPh>
    <rPh sb="2" eb="3">
      <t>ム</t>
    </rPh>
    <rPh sb="6" eb="8">
      <t>カクニン</t>
    </rPh>
    <phoneticPr fontId="24"/>
  </si>
  <si>
    <t>私用外出(分)</t>
    <phoneticPr fontId="24"/>
  </si>
  <si>
    <t>休憩補正(分)</t>
    <phoneticPr fontId="24"/>
  </si>
  <si>
    <t>休憩補正不可確認した結果の休憩時間(分)</t>
    <rPh sb="4" eb="6">
      <t>フカ</t>
    </rPh>
    <rPh sb="6" eb="8">
      <t>カクニン</t>
    </rPh>
    <rPh sb="10" eb="12">
      <t>ケッカ</t>
    </rPh>
    <rPh sb="13" eb="15">
      <t>キュウケイ</t>
    </rPh>
    <rPh sb="15" eb="17">
      <t>ジカン</t>
    </rPh>
    <phoneticPr fontId="24"/>
  </si>
  <si>
    <t>稼働時間内稼働時間（分）</t>
    <rPh sb="0" eb="2">
      <t>カドウ</t>
    </rPh>
    <rPh sb="2" eb="4">
      <t>ジカン</t>
    </rPh>
    <rPh sb="4" eb="5">
      <t>ナイ</t>
    </rPh>
    <rPh sb="5" eb="7">
      <t>カドウ</t>
    </rPh>
    <rPh sb="7" eb="9">
      <t>ジカン</t>
    </rPh>
    <rPh sb="10" eb="11">
      <t>フン</t>
    </rPh>
    <phoneticPr fontId="24"/>
  </si>
  <si>
    <t>休憩短縮を加味した稼働時間（分）</t>
    <rPh sb="5" eb="7">
      <t>カミ</t>
    </rPh>
    <phoneticPr fontId="24"/>
  </si>
  <si>
    <t>休憩短縮を加味した稼働時間（60進法）</t>
    <rPh sb="5" eb="7">
      <t>カミ</t>
    </rPh>
    <rPh sb="16" eb="18">
      <t>シンホウ</t>
    </rPh>
    <phoneticPr fontId="24"/>
  </si>
  <si>
    <t>休憩短縮を加味した稼働時間が0以下の場合（60進法）</t>
    <rPh sb="5" eb="7">
      <t>カミ</t>
    </rPh>
    <rPh sb="15" eb="17">
      <t>イカ</t>
    </rPh>
    <rPh sb="18" eb="20">
      <t>バアイ</t>
    </rPh>
    <rPh sb="23" eb="25">
      <t>シンホウ</t>
    </rPh>
    <phoneticPr fontId="24"/>
  </si>
  <si>
    <t>実際の稼働時間（分）</t>
    <rPh sb="0" eb="2">
      <t>ジッサイ</t>
    </rPh>
    <rPh sb="3" eb="5">
      <t>カドウ</t>
    </rPh>
    <rPh sb="5" eb="7">
      <t>ジカン</t>
    </rPh>
    <rPh sb="8" eb="9">
      <t>フン</t>
    </rPh>
    <phoneticPr fontId="24"/>
  </si>
  <si>
    <t>実際の稼働時間（60進法）</t>
    <rPh sb="0" eb="2">
      <t>ジッサイ</t>
    </rPh>
    <rPh sb="3" eb="5">
      <t>カドウ</t>
    </rPh>
    <rPh sb="5" eb="7">
      <t>ジカン</t>
    </rPh>
    <phoneticPr fontId="24"/>
  </si>
  <si>
    <t>基準時間（提示館内）（分）</t>
    <rPh sb="0" eb="2">
      <t>キジュン</t>
    </rPh>
    <rPh sb="2" eb="4">
      <t>ジカン</t>
    </rPh>
    <rPh sb="5" eb="7">
      <t>テイジ</t>
    </rPh>
    <rPh sb="7" eb="9">
      <t>カンナイ</t>
    </rPh>
    <phoneticPr fontId="24"/>
  </si>
  <si>
    <t>基準時間（提示館内）（60進法）</t>
    <rPh sb="0" eb="2">
      <t>キジュン</t>
    </rPh>
    <rPh sb="2" eb="4">
      <t>ジカン</t>
    </rPh>
    <rPh sb="5" eb="7">
      <t>テイジ</t>
    </rPh>
    <rPh sb="7" eb="9">
      <t>カンナイ</t>
    </rPh>
    <phoneticPr fontId="24"/>
  </si>
  <si>
    <t>基準時間の累計（提示館内）（分）</t>
    <rPh sb="0" eb="2">
      <t>キジュン</t>
    </rPh>
    <rPh sb="2" eb="4">
      <t>ジカン</t>
    </rPh>
    <rPh sb="5" eb="7">
      <t>ルイケイ</t>
    </rPh>
    <rPh sb="8" eb="10">
      <t>テイジ</t>
    </rPh>
    <rPh sb="10" eb="12">
      <t>カンナイ</t>
    </rPh>
    <phoneticPr fontId="24"/>
  </si>
  <si>
    <t>基準時間の累計（提示館内）（60進法）</t>
    <rPh sb="0" eb="2">
      <t>キジュン</t>
    </rPh>
    <rPh sb="2" eb="4">
      <t>ジカン</t>
    </rPh>
    <rPh sb="8" eb="10">
      <t>テイジ</t>
    </rPh>
    <rPh sb="10" eb="12">
      <t>カンナイ</t>
    </rPh>
    <phoneticPr fontId="24"/>
  </si>
  <si>
    <t>超過の負を確認</t>
    <rPh sb="0" eb="2">
      <t>チョウカ</t>
    </rPh>
    <rPh sb="3" eb="4">
      <t>フ</t>
    </rPh>
    <rPh sb="5" eb="7">
      <t>カクニン</t>
    </rPh>
    <phoneticPr fontId="24"/>
  </si>
  <si>
    <t>超過累計の負を確認</t>
    <rPh sb="0" eb="2">
      <t>チョウカ</t>
    </rPh>
    <rPh sb="2" eb="4">
      <t>ルイケイ</t>
    </rPh>
    <rPh sb="5" eb="6">
      <t>フ</t>
    </rPh>
    <rPh sb="7" eb="9">
      <t>カクニン</t>
    </rPh>
    <phoneticPr fontId="24"/>
  </si>
  <si>
    <t>基準時間の累計（提示館内）（分）</t>
    <rPh sb="0" eb="2">
      <t>キジュン</t>
    </rPh>
    <rPh sb="2" eb="4">
      <t>ジカン</t>
    </rPh>
    <rPh sb="8" eb="10">
      <t>テイジ</t>
    </rPh>
    <rPh sb="10" eb="12">
      <t>カンナイ</t>
    </rPh>
    <phoneticPr fontId="24"/>
  </si>
  <si>
    <t>休憩時間確認用計算</t>
    <rPh sb="0" eb="2">
      <t>キュウケイ</t>
    </rPh>
    <rPh sb="2" eb="4">
      <t>ジカン</t>
    </rPh>
    <rPh sb="4" eb="6">
      <t>カクニン</t>
    </rPh>
    <rPh sb="6" eb="7">
      <t>ヨウ</t>
    </rPh>
    <rPh sb="7" eb="9">
      <t>ケイサン</t>
    </rPh>
    <phoneticPr fontId="24"/>
  </si>
  <si>
    <t>休憩時間の合計（分）</t>
    <rPh sb="0" eb="2">
      <t>キュウケイ</t>
    </rPh>
    <rPh sb="2" eb="4">
      <t>ジカン</t>
    </rPh>
    <rPh sb="5" eb="7">
      <t>ゴウケイ</t>
    </rPh>
    <phoneticPr fontId="24"/>
  </si>
  <si>
    <t>昼休憩の時間（分）</t>
    <rPh sb="0" eb="1">
      <t>ヒル</t>
    </rPh>
    <rPh sb="1" eb="3">
      <t>キュウケイ</t>
    </rPh>
    <rPh sb="4" eb="6">
      <t>ジカン</t>
    </rPh>
    <phoneticPr fontId="24"/>
  </si>
  <si>
    <t>休憩２の時間（分）</t>
    <rPh sb="4" eb="6">
      <t>ジカン</t>
    </rPh>
    <phoneticPr fontId="24"/>
  </si>
  <si>
    <t>休憩３の時間（分）</t>
    <rPh sb="4" eb="6">
      <t>ジカン</t>
    </rPh>
    <phoneticPr fontId="24"/>
  </si>
  <si>
    <t>休憩４の時間（分）</t>
    <rPh sb="4" eb="6">
      <t>ジカン</t>
    </rPh>
    <phoneticPr fontId="24"/>
  </si>
  <si>
    <t>休憩５の時間（分）</t>
    <rPh sb="4" eb="6">
      <t>ジカン</t>
    </rPh>
    <phoneticPr fontId="24"/>
  </si>
  <si>
    <t>休憩６の時間（分）</t>
    <rPh sb="4" eb="6">
      <t>ジカン</t>
    </rPh>
    <phoneticPr fontId="24"/>
  </si>
  <si>
    <t>休憩７の時間（分）</t>
    <rPh sb="4" eb="6">
      <t>ジカン</t>
    </rPh>
    <phoneticPr fontId="24"/>
  </si>
  <si>
    <t>付加休憩の時間（分）</t>
    <rPh sb="0" eb="2">
      <t>フカ</t>
    </rPh>
    <rPh sb="5" eb="7">
      <t>ジカン</t>
    </rPh>
    <phoneticPr fontId="24"/>
  </si>
  <si>
    <t>最低休暇時間（分）</t>
    <phoneticPr fontId="24"/>
  </si>
  <si>
    <t>表示縮小対応</t>
    <rPh sb="0" eb="2">
      <t>ヒョウジ</t>
    </rPh>
    <rPh sb="2" eb="4">
      <t>シュクショウ</t>
    </rPh>
    <rPh sb="4" eb="6">
      <t>タイオウ</t>
    </rPh>
    <phoneticPr fontId="24"/>
  </si>
  <si>
    <t>日付（海外OS対応）、報告欄、作業時間報告書/出張費明細書の備考欄を縮小表示に変更</t>
    <rPh sb="0" eb="2">
      <t>ヒヅケ</t>
    </rPh>
    <rPh sb="3" eb="5">
      <t>カイガイ</t>
    </rPh>
    <rPh sb="7" eb="9">
      <t>タイオウ</t>
    </rPh>
    <rPh sb="11" eb="13">
      <t>ホウコク</t>
    </rPh>
    <rPh sb="13" eb="14">
      <t>ラン</t>
    </rPh>
    <rPh sb="30" eb="32">
      <t>ビコウ</t>
    </rPh>
    <rPh sb="32" eb="33">
      <t>ラン</t>
    </rPh>
    <rPh sb="34" eb="36">
      <t>シュクショウ</t>
    </rPh>
    <rPh sb="36" eb="38">
      <t>ヒョウジ</t>
    </rPh>
    <rPh sb="39" eb="41">
      <t>ヘンコウ</t>
    </rPh>
    <phoneticPr fontId="24"/>
  </si>
  <si>
    <t>【入力例】システム事業本部　第１技術部　第２技術Ｇ</t>
    <rPh sb="11" eb="12">
      <t>ホン</t>
    </rPh>
    <phoneticPr fontId="24"/>
  </si>
  <si>
    <t>Ofiice2010x64対応</t>
    <rPh sb="13" eb="15">
      <t>タイオウ</t>
    </rPh>
    <phoneticPr fontId="24"/>
  </si>
  <si>
    <t>API宣言部に、64bit版を追加</t>
    <rPh sb="3" eb="5">
      <t>センゲン</t>
    </rPh>
    <rPh sb="5" eb="6">
      <t>ブ</t>
    </rPh>
    <rPh sb="13" eb="14">
      <t>バン</t>
    </rPh>
    <rPh sb="15" eb="17">
      <t>ツイカ</t>
    </rPh>
    <phoneticPr fontId="24"/>
  </si>
  <si>
    <t>前年分</t>
    <rPh sb="0" eb="2">
      <t>ゼンネン</t>
    </rPh>
    <rPh sb="2" eb="3">
      <t>ブン</t>
    </rPh>
    <phoneticPr fontId="24"/>
  </si>
  <si>
    <t>自然に親しむとともにその恩恵に感謝し、豊かな心をはぐくむ。</t>
    <phoneticPr fontId="24"/>
  </si>
  <si>
    <t>七月の第三月曜日</t>
    <phoneticPr fontId="24"/>
  </si>
  <si>
    <t>五月五日</t>
    <phoneticPr fontId="24"/>
  </si>
  <si>
    <t>五月三日</t>
    <phoneticPr fontId="24"/>
  </si>
  <si>
    <t>四月二十九日</t>
    <phoneticPr fontId="24"/>
  </si>
  <si>
    <t>日本国憲法の施行を記念し、国の成長を期する。</t>
    <phoneticPr fontId="24"/>
  </si>
  <si>
    <t>こどもの人格を重んじ、こどもの幸福をはかるとともに、母に感謝する。</t>
    <phoneticPr fontId="24"/>
  </si>
  <si>
    <t>海の恩恵に感謝するとともに、海洋国日本の繁栄を願う。</t>
    <phoneticPr fontId="24"/>
  </si>
  <si>
    <t>秋分日</t>
    <phoneticPr fontId="24"/>
  </si>
  <si>
    <t>九月の第三月曜日</t>
    <phoneticPr fontId="24"/>
  </si>
  <si>
    <t>多年にわたり社会につくしてきた老人を敬愛し、長寿を祝う。</t>
    <phoneticPr fontId="24"/>
  </si>
  <si>
    <t>祖先をうやまい、なくなつた人々をしのぶ。</t>
    <phoneticPr fontId="24"/>
  </si>
  <si>
    <t>十月の第二月曜日</t>
    <phoneticPr fontId="24"/>
  </si>
  <si>
    <t>十一月三日</t>
    <phoneticPr fontId="24"/>
  </si>
  <si>
    <t>自由と平和を愛し、文化をすすめる。</t>
    <phoneticPr fontId="24"/>
  </si>
  <si>
    <t>スポーツにしたしみ、健康な心身をつちかう。</t>
    <phoneticPr fontId="24"/>
  </si>
  <si>
    <t>十二月二十三日</t>
    <phoneticPr fontId="24"/>
  </si>
  <si>
    <t>十一月二十三日</t>
    <phoneticPr fontId="24"/>
  </si>
  <si>
    <t>勤労をたつとび、生産を祝い、国民たがいに感謝しあう。</t>
    <phoneticPr fontId="24"/>
  </si>
  <si>
    <t>天皇の誕生日を祝う。</t>
    <phoneticPr fontId="24"/>
  </si>
  <si>
    <t>一月一日</t>
    <phoneticPr fontId="24"/>
  </si>
  <si>
    <t>年のはじめを祝う。</t>
    <phoneticPr fontId="24"/>
  </si>
  <si>
    <t>一月の第二月曜日</t>
    <phoneticPr fontId="24"/>
  </si>
  <si>
    <t>おとなになつたことを自覚し、みずから生き抜こうとする青年を祝いはげます。</t>
    <phoneticPr fontId="24"/>
  </si>
  <si>
    <t>政令で定める日</t>
    <phoneticPr fontId="24"/>
  </si>
  <si>
    <t>建国をしのび、国を愛する心を養う。</t>
    <phoneticPr fontId="24"/>
  </si>
  <si>
    <t xml:space="preserve">      交 通 費 請 求 明 細 書</t>
    <phoneticPr fontId="24"/>
  </si>
  <si>
    <t>氏　名</t>
    <phoneticPr fontId="24"/>
  </si>
  <si>
    <t>印</t>
    <phoneticPr fontId="24"/>
  </si>
  <si>
    <t>区　　間</t>
    <phoneticPr fontId="24"/>
  </si>
  <si>
    <t>片道/往復</t>
    <phoneticPr fontId="24"/>
  </si>
  <si>
    <t>税区分</t>
    <rPh sb="0" eb="3">
      <t>ゼイクブン</t>
    </rPh>
    <phoneticPr fontId="24"/>
  </si>
  <si>
    <t>～</t>
    <phoneticPr fontId="24"/>
  </si>
  <si>
    <t>合　　　　計</t>
    <phoneticPr fontId="24"/>
  </si>
  <si>
    <t>税区分別合計</t>
    <rPh sb="0" eb="3">
      <t>ゼイクブン</t>
    </rPh>
    <rPh sb="3" eb="4">
      <t>ベツ</t>
    </rPh>
    <rPh sb="4" eb="6">
      <t>ゴウケイ</t>
    </rPh>
    <phoneticPr fontId="24"/>
  </si>
  <si>
    <t>非課税</t>
    <rPh sb="0" eb="1">
      <t>ヒ</t>
    </rPh>
    <rPh sb="1" eb="3">
      <t>カゼイ</t>
    </rPh>
    <phoneticPr fontId="24"/>
  </si>
  <si>
    <t>8%仮払消費税</t>
    <rPh sb="2" eb="4">
      <t>カリバラ</t>
    </rPh>
    <rPh sb="4" eb="7">
      <t>ショウヒゼイ</t>
    </rPh>
    <phoneticPr fontId="24"/>
  </si>
  <si>
    <t>計算対象外</t>
    <rPh sb="0" eb="2">
      <t>ケイサン</t>
    </rPh>
    <rPh sb="2" eb="5">
      <t>タイショウガイ</t>
    </rPh>
    <phoneticPr fontId="24"/>
  </si>
  <si>
    <t>氏　名</t>
    <phoneticPr fontId="24"/>
  </si>
  <si>
    <t>印</t>
    <phoneticPr fontId="24"/>
  </si>
  <si>
    <t>交通機関</t>
    <phoneticPr fontId="24"/>
  </si>
  <si>
    <t xml:space="preserve">    発            駅</t>
    <phoneticPr fontId="24"/>
  </si>
  <si>
    <t>金　　額</t>
    <rPh sb="0" eb="1">
      <t>キン</t>
    </rPh>
    <rPh sb="3" eb="4">
      <t>ガク</t>
    </rPh>
    <phoneticPr fontId="24"/>
  </si>
  <si>
    <t>　宿泊費</t>
    <phoneticPr fontId="24"/>
  </si>
  <si>
    <r>
      <t>　 泊</t>
    </r>
    <r>
      <rPr>
        <sz val="11"/>
        <rFont val="ＭＳ Ｐゴシック"/>
        <family val="3"/>
        <charset val="128"/>
      </rPr>
      <t xml:space="preserve">　 </t>
    </r>
    <r>
      <rPr>
        <sz val="11"/>
        <rFont val="ＭＳ Ｐゴシック"/>
        <family val="3"/>
        <charset val="128"/>
      </rPr>
      <t>×　</t>
    </r>
    <r>
      <rPr>
        <sz val="11"/>
        <rFont val="ＭＳ Ｐゴシック"/>
        <family val="3"/>
        <charset val="128"/>
      </rPr>
      <t xml:space="preserve"> </t>
    </r>
    <r>
      <rPr>
        <sz val="11"/>
        <rFont val="ＭＳ Ｐゴシック"/>
        <family val="3"/>
        <charset val="128"/>
      </rPr>
      <t>＠</t>
    </r>
    <phoneticPr fontId="24"/>
  </si>
  <si>
    <r>
      <t>　 泊　</t>
    </r>
    <r>
      <rPr>
        <sz val="11"/>
        <rFont val="ＭＳ Ｐゴシック"/>
        <family val="3"/>
        <charset val="128"/>
      </rPr>
      <t xml:space="preserve"> </t>
    </r>
    <r>
      <rPr>
        <sz val="11"/>
        <rFont val="ＭＳ Ｐゴシック"/>
        <family val="3"/>
        <charset val="128"/>
      </rPr>
      <t>×</t>
    </r>
    <r>
      <rPr>
        <sz val="11"/>
        <rFont val="ＭＳ Ｐゴシック"/>
        <family val="3"/>
        <charset val="128"/>
      </rPr>
      <t xml:space="preserve"> </t>
    </r>
    <r>
      <rPr>
        <sz val="11"/>
        <rFont val="ＭＳ Ｐゴシック"/>
        <family val="3"/>
        <charset val="128"/>
      </rPr>
      <t>　＠</t>
    </r>
    <phoneticPr fontId="24"/>
  </si>
  <si>
    <t>（</t>
    <phoneticPr fontId="24"/>
  </si>
  <si>
    <t>）</t>
    <phoneticPr fontId="24"/>
  </si>
  <si>
    <r>
      <t>　 泊　</t>
    </r>
    <r>
      <rPr>
        <sz val="11"/>
        <rFont val="ＭＳ Ｐゴシック"/>
        <family val="3"/>
        <charset val="128"/>
      </rPr>
      <t xml:space="preserve"> </t>
    </r>
    <r>
      <rPr>
        <sz val="11"/>
        <rFont val="ＭＳ Ｐゴシック"/>
        <family val="3"/>
        <charset val="128"/>
      </rPr>
      <t>×</t>
    </r>
    <r>
      <rPr>
        <sz val="11"/>
        <rFont val="ＭＳ Ｐゴシック"/>
        <family val="3"/>
        <charset val="128"/>
      </rPr>
      <t xml:space="preserve"> </t>
    </r>
    <r>
      <rPr>
        <sz val="11"/>
        <rFont val="ＭＳ Ｐゴシック"/>
        <family val="3"/>
        <charset val="128"/>
      </rPr>
      <t>　＠</t>
    </r>
    <phoneticPr fontId="24"/>
  </si>
  <si>
    <r>
      <t>　</t>
    </r>
    <r>
      <rPr>
        <sz val="11"/>
        <rFont val="ＭＳ Ｐゴシック"/>
        <family val="3"/>
        <charset val="128"/>
      </rPr>
      <t>日  当</t>
    </r>
    <phoneticPr fontId="24"/>
  </si>
  <si>
    <t>　 日　 ×　 ＠</t>
    <phoneticPr fontId="24"/>
  </si>
  <si>
    <t>　備   考</t>
    <phoneticPr fontId="24"/>
  </si>
  <si>
    <r>
      <t xml:space="preserve">精算金額 </t>
    </r>
    <r>
      <rPr>
        <sz val="11"/>
        <rFont val="ＭＳ Ｐゴシック"/>
        <family val="3"/>
        <charset val="128"/>
      </rPr>
      <t>(①＋②)</t>
    </r>
    <phoneticPr fontId="24"/>
  </si>
  <si>
    <t>（　　　／　　　）</t>
    <phoneticPr fontId="24"/>
  </si>
  <si>
    <r>
      <t>過不足額</t>
    </r>
    <r>
      <rPr>
        <sz val="11"/>
        <rFont val="ＭＳ Ｐゴシック"/>
        <family val="3"/>
        <charset val="128"/>
      </rPr>
      <t xml:space="preserve"> (</t>
    </r>
    <r>
      <rPr>
        <sz val="11"/>
        <rFont val="ＭＳ Ｐゴシック"/>
        <family val="3"/>
        <charset val="128"/>
      </rPr>
      <t>③</t>
    </r>
    <r>
      <rPr>
        <sz val="11"/>
        <rFont val="ＭＳ Ｐゴシック"/>
        <family val="3"/>
        <charset val="128"/>
      </rPr>
      <t>)</t>
    </r>
    <phoneticPr fontId="24"/>
  </si>
  <si>
    <t xml:space="preserve">  出張費明細書(別紙明細）</t>
    <phoneticPr fontId="24"/>
  </si>
  <si>
    <t>氏　名</t>
    <phoneticPr fontId="24"/>
  </si>
  <si>
    <t>交通機関</t>
    <phoneticPr fontId="24"/>
  </si>
  <si>
    <t xml:space="preserve">  出張費明細書(別紙明細）</t>
    <phoneticPr fontId="24"/>
  </si>
  <si>
    <t>駅</t>
    <rPh sb="0" eb="1">
      <t>エキ</t>
    </rPh>
    <phoneticPr fontId="24"/>
  </si>
  <si>
    <t>消費税対応</t>
    <rPh sb="0" eb="3">
      <t>ショウヒゼイ</t>
    </rPh>
    <rPh sb="3" eb="5">
      <t>タイオウ</t>
    </rPh>
    <phoneticPr fontId="24"/>
  </si>
  <si>
    <t>交通費、出張費のフォーマット修正</t>
    <rPh sb="0" eb="3">
      <t>コウツウヒ</t>
    </rPh>
    <rPh sb="4" eb="7">
      <t>シュッチョウヒ</t>
    </rPh>
    <rPh sb="14" eb="16">
      <t>シュウセイ</t>
    </rPh>
    <phoneticPr fontId="24"/>
  </si>
  <si>
    <t>印欄の罫線修正</t>
    <rPh sb="0" eb="1">
      <t>イン</t>
    </rPh>
    <rPh sb="1" eb="2">
      <t>ラン</t>
    </rPh>
    <rPh sb="3" eb="5">
      <t>ケイセン</t>
    </rPh>
    <rPh sb="5" eb="7">
      <t>シュウセイ</t>
    </rPh>
    <phoneticPr fontId="24"/>
  </si>
  <si>
    <t>罫線を太く。印刷時行列番号表示を解除</t>
    <rPh sb="0" eb="2">
      <t>ケイセン</t>
    </rPh>
    <rPh sb="3" eb="4">
      <t>フト</t>
    </rPh>
    <rPh sb="6" eb="8">
      <t>インサツ</t>
    </rPh>
    <rPh sb="8" eb="9">
      <t>ジ</t>
    </rPh>
    <rPh sb="9" eb="11">
      <t>ギョウレツ</t>
    </rPh>
    <rPh sb="11" eb="13">
      <t>バンゴウ</t>
    </rPh>
    <rPh sb="13" eb="15">
      <t>ヒョウジ</t>
    </rPh>
    <rPh sb="16" eb="18">
      <t>カイジョ</t>
    </rPh>
    <phoneticPr fontId="24"/>
  </si>
  <si>
    <t>金　　額</t>
    <phoneticPr fontId="24"/>
  </si>
  <si>
    <t>日付</t>
    <phoneticPr fontId="24"/>
  </si>
  <si>
    <t>発     駅</t>
    <phoneticPr fontId="24"/>
  </si>
  <si>
    <t>8%仮払消費税</t>
  </si>
  <si>
    <t>交通費、出張費明細書、共に税区分が追加されています。以下に従って設定してください。</t>
    <phoneticPr fontId="24"/>
  </si>
  <si>
    <t>経費精算帳票に「税区分」の記入欄が追加されますので、適用税率を確認の上、承認をお願いします。</t>
    <rPh sb="0" eb="2">
      <t>ケイヒ</t>
    </rPh>
    <rPh sb="2" eb="4">
      <t>セイサン</t>
    </rPh>
    <rPh sb="4" eb="6">
      <t>チョウヒョウ</t>
    </rPh>
    <rPh sb="8" eb="9">
      <t>ゼイ</t>
    </rPh>
    <rPh sb="9" eb="11">
      <t>クブン</t>
    </rPh>
    <rPh sb="13" eb="15">
      <t>キニュウ</t>
    </rPh>
    <rPh sb="15" eb="16">
      <t>ラン</t>
    </rPh>
    <rPh sb="17" eb="19">
      <t>ツイカ</t>
    </rPh>
    <rPh sb="26" eb="28">
      <t>テキヨウ</t>
    </rPh>
    <rPh sb="28" eb="30">
      <t>ゼイリツ</t>
    </rPh>
    <rPh sb="31" eb="33">
      <t>カクニン</t>
    </rPh>
    <rPh sb="34" eb="35">
      <t>ウエ</t>
    </rPh>
    <rPh sb="36" eb="38">
      <t>ショウニン</t>
    </rPh>
    <rPh sb="40" eb="41">
      <t>ネガ</t>
    </rPh>
    <phoneticPr fontId="87"/>
  </si>
  <si>
    <t>　　計算対象外</t>
    <rPh sb="2" eb="4">
      <t>ケイサン</t>
    </rPh>
    <rPh sb="4" eb="7">
      <t>タイショウガイ</t>
    </rPh>
    <phoneticPr fontId="87"/>
  </si>
  <si>
    <t>：海外航空運賃、海外交通費／宿泊費等海外出張時の経費精算を行う場合</t>
    <rPh sb="18" eb="20">
      <t>カイガイ</t>
    </rPh>
    <rPh sb="20" eb="22">
      <t>シュッチョウ</t>
    </rPh>
    <rPh sb="22" eb="23">
      <t>ジ</t>
    </rPh>
    <rPh sb="24" eb="26">
      <t>ケイヒ</t>
    </rPh>
    <rPh sb="26" eb="28">
      <t>セイサン</t>
    </rPh>
    <rPh sb="29" eb="30">
      <t>オコナ</t>
    </rPh>
    <rPh sb="31" eb="33">
      <t>バアイ</t>
    </rPh>
    <phoneticPr fontId="87"/>
  </si>
  <si>
    <t>　　非課税</t>
    <rPh sb="2" eb="5">
      <t>ヒカゼイ</t>
    </rPh>
    <phoneticPr fontId="87"/>
  </si>
  <si>
    <t>：保険料、切手、商品券等の購入で使用する場合</t>
    <phoneticPr fontId="87"/>
  </si>
  <si>
    <t>　　8％仮払消費税</t>
    <rPh sb="4" eb="6">
      <t>カリバラ</t>
    </rPh>
    <rPh sb="6" eb="9">
      <t>ショウヒゼイ</t>
    </rPh>
    <phoneticPr fontId="87"/>
  </si>
  <si>
    <t>作業時間報告書</t>
    <phoneticPr fontId="24"/>
  </si>
  <si>
    <t>氏　名</t>
    <phoneticPr fontId="24"/>
  </si>
  <si>
    <t>!</t>
    <phoneticPr fontId="24"/>
  </si>
  <si>
    <t>基準累計</t>
    <phoneticPr fontId="24"/>
  </si>
  <si>
    <t>超過時間</t>
    <phoneticPr fontId="24"/>
  </si>
  <si>
    <t>超過累計</t>
    <phoneticPr fontId="24"/>
  </si>
  <si>
    <t>日付</t>
    <phoneticPr fontId="24"/>
  </si>
  <si>
    <t>Dummy</t>
    <phoneticPr fontId="24"/>
  </si>
  <si>
    <t>実 行 時 間</t>
    <phoneticPr fontId="24"/>
  </si>
  <si>
    <t>実作業</t>
    <phoneticPr fontId="24"/>
  </si>
  <si>
    <t>時間外稼働NG</t>
    <phoneticPr fontId="24"/>
  </si>
  <si>
    <t>（分）</t>
    <phoneticPr fontId="24"/>
  </si>
  <si>
    <t>No</t>
    <phoneticPr fontId="24"/>
  </si>
  <si>
    <t>～</t>
    <phoneticPr fontId="24"/>
  </si>
  <si>
    <t>～</t>
    <phoneticPr fontId="24"/>
  </si>
  <si>
    <t>お客様名2</t>
    <phoneticPr fontId="24"/>
  </si>
  <si>
    <t>～</t>
    <phoneticPr fontId="24"/>
  </si>
  <si>
    <t>お客様名3</t>
    <phoneticPr fontId="24"/>
  </si>
  <si>
    <t>～</t>
    <phoneticPr fontId="24"/>
  </si>
  <si>
    <t>お客様名4</t>
    <phoneticPr fontId="24"/>
  </si>
  <si>
    <t>お客様名5</t>
    <phoneticPr fontId="24"/>
  </si>
  <si>
    <t>～</t>
    <phoneticPr fontId="24"/>
  </si>
  <si>
    <t>～</t>
    <phoneticPr fontId="24"/>
  </si>
  <si>
    <t>～</t>
    <phoneticPr fontId="24"/>
  </si>
  <si>
    <t>～</t>
    <phoneticPr fontId="24"/>
  </si>
  <si>
    <t>～</t>
    <phoneticPr fontId="24"/>
  </si>
  <si>
    <t>連絡事項</t>
    <phoneticPr fontId="24"/>
  </si>
  <si>
    <t>お客様</t>
    <phoneticPr fontId="24"/>
  </si>
  <si>
    <t>コメント列削除</t>
    <rPh sb="4" eb="5">
      <t>レツ</t>
    </rPh>
    <rPh sb="5" eb="7">
      <t>サクジョ</t>
    </rPh>
    <phoneticPr fontId="24"/>
  </si>
  <si>
    <t>対象シート</t>
    <rPh sb="0" eb="2">
      <t>タイショウ</t>
    </rPh>
    <phoneticPr fontId="24"/>
  </si>
  <si>
    <t>作業時間報告書</t>
  </si>
  <si>
    <t>交通費請求明細書のタイトル</t>
    <phoneticPr fontId="24"/>
  </si>
  <si>
    <t>交通費請求明細書</t>
  </si>
  <si>
    <t>出張費明細書マスタ</t>
  </si>
  <si>
    <t>全体</t>
    <rPh sb="0" eb="2">
      <t>ゼンタイ</t>
    </rPh>
    <phoneticPr fontId="24"/>
  </si>
  <si>
    <t>交通費、出張費</t>
  </si>
  <si>
    <t>業務</t>
    <rPh sb="0" eb="2">
      <t>ギョウム</t>
    </rPh>
    <phoneticPr fontId="24"/>
  </si>
  <si>
    <t>外出・業務外作業</t>
    <rPh sb="0" eb="2">
      <t>ガイシュツ</t>
    </rPh>
    <rPh sb="3" eb="5">
      <t>ギョウム</t>
    </rPh>
    <rPh sb="5" eb="6">
      <t>ガイ</t>
    </rPh>
    <rPh sb="6" eb="8">
      <t>サギョウ</t>
    </rPh>
    <phoneticPr fontId="24"/>
  </si>
  <si>
    <t>【外出・業務外作業】</t>
    <rPh sb="1" eb="3">
      <t>ガイシュツ</t>
    </rPh>
    <rPh sb="4" eb="6">
      <t>ギョウム</t>
    </rPh>
    <rPh sb="6" eb="7">
      <t>ガイ</t>
    </rPh>
    <rPh sb="7" eb="9">
      <t>サギョウ</t>
    </rPh>
    <phoneticPr fontId="24"/>
  </si>
  <si>
    <t>未実施</t>
    <phoneticPr fontId="24"/>
  </si>
  <si>
    <t>業務欄の「未実施」を選択して下さい。</t>
    <rPh sb="5" eb="6">
      <t>ミ</t>
    </rPh>
    <rPh sb="6" eb="8">
      <t>ジッシ</t>
    </rPh>
    <phoneticPr fontId="24"/>
  </si>
  <si>
    <t>翌日の朝7：00</t>
    <phoneticPr fontId="24"/>
  </si>
  <si>
    <t>31：00</t>
    <phoneticPr fontId="24"/>
  </si>
  <si>
    <t>※0：00、02：00　等の入力は、正しく計算されません。</t>
    <rPh sb="18" eb="19">
      <t>タダ</t>
    </rPh>
    <rPh sb="21" eb="23">
      <t>ケイサン</t>
    </rPh>
    <phoneticPr fontId="24"/>
  </si>
  <si>
    <t>【業務を実施しなかった場合】</t>
    <rPh sb="1" eb="3">
      <t>ギョウム</t>
    </rPh>
    <rPh sb="4" eb="6">
      <t>ジッシ</t>
    </rPh>
    <phoneticPr fontId="24"/>
  </si>
  <si>
    <t>また、FSIの有休消化日、有休奨励日に休まれた場合も、「未実施」を選択して下さい。</t>
    <rPh sb="7" eb="9">
      <t>ユウキュウ</t>
    </rPh>
    <rPh sb="28" eb="29">
      <t>ミ</t>
    </rPh>
    <rPh sb="29" eb="31">
      <t>ジッシ</t>
    </rPh>
    <phoneticPr fontId="24"/>
  </si>
  <si>
    <t>祝日は自動で設定されないため祝日の設定が必要です。西暦も合せて設定を行って下さい。</t>
    <rPh sb="0" eb="2">
      <t>シュクジツ</t>
    </rPh>
    <rPh sb="3" eb="5">
      <t>ジドウ</t>
    </rPh>
    <rPh sb="6" eb="8">
      <t>セッテイ</t>
    </rPh>
    <rPh sb="14" eb="16">
      <t>シュクジツ</t>
    </rPh>
    <rPh sb="17" eb="19">
      <t>セッテイ</t>
    </rPh>
    <rPh sb="20" eb="22">
      <t>ヒツヨウ</t>
    </rPh>
    <rPh sb="25" eb="27">
      <t>セイレキ</t>
    </rPh>
    <rPh sb="28" eb="29">
      <t>アワ</t>
    </rPh>
    <rPh sb="31" eb="33">
      <t>セッテイ</t>
    </rPh>
    <rPh sb="34" eb="35">
      <t>オコナ</t>
    </rPh>
    <rPh sb="37" eb="38">
      <t>クダ</t>
    </rPh>
    <phoneticPr fontId="24"/>
  </si>
  <si>
    <t>山田 太郎</t>
    <rPh sb="0" eb="2">
      <t>ヤマダ</t>
    </rPh>
    <rPh sb="3" eb="5">
      <t>タロウ</t>
    </rPh>
    <phoneticPr fontId="24"/>
  </si>
  <si>
    <t>西暦表示に変更</t>
    <rPh sb="0" eb="2">
      <t>セイレキ</t>
    </rPh>
    <rPh sb="2" eb="4">
      <t>ヒョウジ</t>
    </rPh>
    <rPh sb="5" eb="7">
      <t>ヘンコウ</t>
    </rPh>
    <phoneticPr fontId="24"/>
  </si>
  <si>
    <t>全シート</t>
    <rPh sb="0" eb="1">
      <t>ゼン</t>
    </rPh>
    <phoneticPr fontId="24"/>
  </si>
  <si>
    <t>日付表示書式を変更</t>
    <rPh sb="0" eb="2">
      <t>ヒヅケ</t>
    </rPh>
    <rPh sb="2" eb="4">
      <t>ヒョウジ</t>
    </rPh>
    <rPh sb="4" eb="6">
      <t>ショシキ</t>
    </rPh>
    <rPh sb="7" eb="9">
      <t>ヘンコウ</t>
    </rPh>
    <phoneticPr fontId="24"/>
  </si>
  <si>
    <t>コメント追加</t>
    <rPh sb="4" eb="6">
      <t>ツイカ</t>
    </rPh>
    <phoneticPr fontId="24"/>
  </si>
  <si>
    <t>「ICカード利用」のコメントを追加（非印刷）</t>
    <rPh sb="15" eb="17">
      <t>ツイカ</t>
    </rPh>
    <rPh sb="18" eb="19">
      <t>ヒ</t>
    </rPh>
    <rPh sb="19" eb="21">
      <t>インサツ</t>
    </rPh>
    <phoneticPr fontId="24"/>
  </si>
  <si>
    <t xml:space="preserve">電車に乗車する場合、極力ICカードを利用下さい。
</t>
    <phoneticPr fontId="24"/>
  </si>
  <si>
    <t>【入力方法】</t>
    <rPh sb="1" eb="3">
      <t>ニュウリョク</t>
    </rPh>
    <rPh sb="3" eb="5">
      <t>ホウホウ</t>
    </rPh>
    <phoneticPr fontId="24"/>
  </si>
  <si>
    <t>■ファイルの新規作成について■</t>
    <rPh sb="6" eb="8">
      <t>シンキ</t>
    </rPh>
    <rPh sb="8" eb="10">
      <t>サクセイ</t>
    </rPh>
    <phoneticPr fontId="24"/>
  </si>
  <si>
    <t>◆年度を跨いで同じファイルを使用する場合には、「祝日テーブルの変更」を行う必要があります。</t>
    <rPh sb="1" eb="3">
      <t>ネンド</t>
    </rPh>
    <rPh sb="4" eb="5">
      <t>マタ</t>
    </rPh>
    <rPh sb="7" eb="8">
      <t>オナ</t>
    </rPh>
    <rPh sb="14" eb="16">
      <t>シヨウ</t>
    </rPh>
    <rPh sb="18" eb="20">
      <t>バアイ</t>
    </rPh>
    <rPh sb="35" eb="36">
      <t>オコナ</t>
    </rPh>
    <rPh sb="37" eb="39">
      <t>ヒツヨウ</t>
    </rPh>
    <phoneticPr fontId="24"/>
  </si>
  <si>
    <t>【ファイルの新規作成】</t>
    <rPh sb="6" eb="8">
      <t>シンキ</t>
    </rPh>
    <rPh sb="8" eb="10">
      <t>サクセイ</t>
    </rPh>
    <phoneticPr fontId="24"/>
  </si>
  <si>
    <t>当ファイルをダウンロードした時のファイルは、テンプレートファイルとなります。</t>
    <rPh sb="0" eb="1">
      <t>トウ</t>
    </rPh>
    <rPh sb="14" eb="15">
      <t>トキ</t>
    </rPh>
    <phoneticPr fontId="24"/>
  </si>
  <si>
    <t>ダブルクリックで開くことで、新規のファイル作成となります。</t>
    <rPh sb="8" eb="9">
      <t>ヒラ</t>
    </rPh>
    <rPh sb="14" eb="16">
      <t>シンキ</t>
    </rPh>
    <rPh sb="21" eb="23">
      <t>サクセイ</t>
    </rPh>
    <phoneticPr fontId="24"/>
  </si>
  <si>
    <t>ただし、新規作成の日付によって、利用出来る期間が異なります。</t>
    <rPh sb="4" eb="6">
      <t>シンキ</t>
    </rPh>
    <rPh sb="6" eb="8">
      <t>サクセイ</t>
    </rPh>
    <rPh sb="9" eb="11">
      <t>ヒヅケ</t>
    </rPh>
    <rPh sb="16" eb="18">
      <t>リヨウ</t>
    </rPh>
    <rPh sb="18" eb="20">
      <t>デキ</t>
    </rPh>
    <rPh sb="21" eb="23">
      <t>キカン</t>
    </rPh>
    <rPh sb="24" eb="25">
      <t>コト</t>
    </rPh>
    <phoneticPr fontId="24"/>
  </si>
  <si>
    <t>作成した年度版として作成されます</t>
    <rPh sb="0" eb="2">
      <t>サクセイ</t>
    </rPh>
    <rPh sb="4" eb="6">
      <t>ネンド</t>
    </rPh>
    <rPh sb="6" eb="7">
      <t>バン</t>
    </rPh>
    <rPh sb="10" eb="12">
      <t>サクセイ</t>
    </rPh>
    <phoneticPr fontId="24"/>
  </si>
  <si>
    <t>作成した年度版または、翌年度版の選択が可能です。</t>
    <rPh sb="0" eb="2">
      <t>サクセイ</t>
    </rPh>
    <rPh sb="4" eb="6">
      <t>ネンド</t>
    </rPh>
    <rPh sb="6" eb="7">
      <t>バン</t>
    </rPh>
    <rPh sb="11" eb="14">
      <t>ヨクネンド</t>
    </rPh>
    <rPh sb="14" eb="15">
      <t>バン</t>
    </rPh>
    <rPh sb="16" eb="18">
      <t>センタク</t>
    </rPh>
    <rPh sb="19" eb="21">
      <t>カノウ</t>
    </rPh>
    <phoneticPr fontId="24"/>
  </si>
  <si>
    <t>3月11日～3月31日に新規作成した場合：</t>
    <rPh sb="1" eb="2">
      <t>ガツ</t>
    </rPh>
    <rPh sb="4" eb="5">
      <t>ニチ</t>
    </rPh>
    <rPh sb="7" eb="8">
      <t>ガツ</t>
    </rPh>
    <rPh sb="10" eb="11">
      <t>ニチ</t>
    </rPh>
    <rPh sb="12" eb="14">
      <t>シンキ</t>
    </rPh>
    <rPh sb="14" eb="16">
      <t>サクセイ</t>
    </rPh>
    <rPh sb="18" eb="20">
      <t>バアイ</t>
    </rPh>
    <phoneticPr fontId="24"/>
  </si>
  <si>
    <t>4月1日～3月10日までに新規作成した場合：</t>
    <rPh sb="6" eb="7">
      <t>ガツ</t>
    </rPh>
    <rPh sb="9" eb="10">
      <t>ニチ</t>
    </rPh>
    <rPh sb="13" eb="15">
      <t>シンキ</t>
    </rPh>
    <rPh sb="15" eb="17">
      <t>サクセイ</t>
    </rPh>
    <rPh sb="19" eb="21">
      <t>バアイ</t>
    </rPh>
    <phoneticPr fontId="24"/>
  </si>
  <si>
    <t>一度新規作成されたファイルは、当年度分（3月31日）まで利用可能ですが、</t>
    <rPh sb="0" eb="2">
      <t>イチド</t>
    </rPh>
    <rPh sb="2" eb="4">
      <t>シンキ</t>
    </rPh>
    <rPh sb="4" eb="6">
      <t>サクセイ</t>
    </rPh>
    <rPh sb="15" eb="16">
      <t>トウ</t>
    </rPh>
    <rPh sb="21" eb="22">
      <t>ガツ</t>
    </rPh>
    <rPh sb="24" eb="25">
      <t>ニチ</t>
    </rPh>
    <rPh sb="28" eb="30">
      <t>リヨウ</t>
    </rPh>
    <rPh sb="30" eb="32">
      <t>カノウ</t>
    </rPh>
    <phoneticPr fontId="24"/>
  </si>
  <si>
    <t>翌年度にも使用される場合は「祝日テーブルの変更」より再設定を行って下さい。</t>
    <phoneticPr fontId="24"/>
  </si>
  <si>
    <t>山の日</t>
    <rPh sb="0" eb="1">
      <t>ヤマ</t>
    </rPh>
    <rPh sb="2" eb="3">
      <t>ヒ</t>
    </rPh>
    <phoneticPr fontId="24"/>
  </si>
  <si>
    <t>秋分の日</t>
    <phoneticPr fontId="24"/>
  </si>
  <si>
    <t>天皇誕生日</t>
    <phoneticPr fontId="24"/>
  </si>
  <si>
    <t>建国記念の日</t>
    <phoneticPr fontId="24"/>
  </si>
  <si>
    <t>050-3000-2791</t>
    <phoneticPr fontId="24"/>
  </si>
  <si>
    <t>パートナー推進部</t>
    <rPh sb="5" eb="8">
      <t>スイシンブ</t>
    </rPh>
    <phoneticPr fontId="24"/>
  </si>
  <si>
    <t>振替休日</t>
    <phoneticPr fontId="24"/>
  </si>
  <si>
    <t>パートナー推進部 パートナー戦略室</t>
    <rPh sb="5" eb="8">
      <t>スイシンブ</t>
    </rPh>
    <rPh sb="14" eb="16">
      <t>センリャク</t>
    </rPh>
    <rPh sb="16" eb="17">
      <t>シツ</t>
    </rPh>
    <phoneticPr fontId="24"/>
  </si>
  <si>
    <t>Mail：</t>
    <phoneticPr fontId="24"/>
  </si>
  <si>
    <t>問い合わせ部所名変更</t>
    <rPh sb="0" eb="1">
      <t>ト</t>
    </rPh>
    <rPh sb="2" eb="3">
      <t>ア</t>
    </rPh>
    <rPh sb="5" eb="6">
      <t>ブ</t>
    </rPh>
    <rPh sb="6" eb="7">
      <t>ショ</t>
    </rPh>
    <rPh sb="7" eb="8">
      <t>メイ</t>
    </rPh>
    <rPh sb="8" eb="10">
      <t>ヘンコウ</t>
    </rPh>
    <phoneticPr fontId="24"/>
  </si>
  <si>
    <t>全シート</t>
    <rPh sb="0" eb="1">
      <t>ゼン</t>
    </rPh>
    <phoneticPr fontId="24"/>
  </si>
  <si>
    <t>10%仮払消費税</t>
    <rPh sb="3" eb="5">
      <t>カリバラ</t>
    </rPh>
    <rPh sb="5" eb="8">
      <t>ショウヒゼイ</t>
    </rPh>
    <phoneticPr fontId="24"/>
  </si>
  <si>
    <t>消費税10％対応</t>
    <rPh sb="0" eb="3">
      <t>ショウヒゼイ</t>
    </rPh>
    <rPh sb="6" eb="8">
      <t>タイオウ</t>
    </rPh>
    <phoneticPr fontId="24"/>
  </si>
  <si>
    <t>建国記念の日</t>
    <rPh sb="0" eb="2">
      <t>ケンコク</t>
    </rPh>
    <rPh sb="2" eb="4">
      <t>キネン</t>
    </rPh>
    <rPh sb="5" eb="6">
      <t>ヒ</t>
    </rPh>
    <phoneticPr fontId="24"/>
  </si>
  <si>
    <t>大晦日</t>
    <rPh sb="0" eb="3">
      <t>オオミソカ</t>
    </rPh>
    <phoneticPr fontId="24"/>
  </si>
  <si>
    <t>　10％仮払消費税</t>
    <rPh sb="4" eb="6">
      <t>カリバラ</t>
    </rPh>
    <rPh sb="6" eb="9">
      <t>ショウヒゼイ</t>
    </rPh>
    <phoneticPr fontId="87"/>
  </si>
  <si>
    <t>：2019年9月31日以前に発生した経費</t>
    <phoneticPr fontId="87"/>
  </si>
  <si>
    <t>：2019年10月1日以降に発生した経費</t>
    <phoneticPr fontId="87"/>
  </si>
  <si>
    <t>10%仮払消費税</t>
    <rPh sb="3" eb="5">
      <t>カリバライ</t>
    </rPh>
    <rPh sb="5" eb="8">
      <t>ショウヒゼイ</t>
    </rPh>
    <phoneticPr fontId="24"/>
  </si>
  <si>
    <t>非課税</t>
  </si>
  <si>
    <t>10%仮払消費税</t>
  </si>
  <si>
    <t>計算対象外</t>
  </si>
  <si>
    <t>宿泊</t>
    <rPh sb="0" eb="2">
      <t>シュクハク</t>
    </rPh>
    <phoneticPr fontId="24"/>
  </si>
  <si>
    <t>国民の祝日</t>
    <phoneticPr fontId="24"/>
  </si>
  <si>
    <t>天皇の即位の日</t>
    <phoneticPr fontId="24"/>
  </si>
  <si>
    <t>即位礼正殿の儀</t>
    <phoneticPr fontId="24"/>
  </si>
  <si>
    <t>勤労感謝の日</t>
    <phoneticPr fontId="24"/>
  </si>
  <si>
    <t>祝日や会社特有の休みを入れてください。（最大40日）</t>
    <rPh sb="0" eb="2">
      <t>シュクジツ</t>
    </rPh>
    <rPh sb="3" eb="5">
      <t>カイシャ</t>
    </rPh>
    <rPh sb="5" eb="7">
      <t>トクユウ</t>
    </rPh>
    <rPh sb="8" eb="9">
      <t>ヤス</t>
    </rPh>
    <rPh sb="11" eb="12">
      <t>イ</t>
    </rPh>
    <rPh sb="20" eb="22">
      <t>サイダイ</t>
    </rPh>
    <rPh sb="24" eb="25">
      <t>ニチ</t>
    </rPh>
    <phoneticPr fontId="24"/>
  </si>
  <si>
    <t>カレンダー拡大</t>
    <rPh sb="5" eb="7">
      <t>カクダイ</t>
    </rPh>
    <phoneticPr fontId="24"/>
  </si>
  <si>
    <t>カレンダー</t>
    <phoneticPr fontId="24"/>
  </si>
  <si>
    <t>30行⇒40行、署名削除</t>
    <rPh sb="2" eb="3">
      <t>ギョウ</t>
    </rPh>
    <rPh sb="6" eb="7">
      <t>ギョウ</t>
    </rPh>
    <rPh sb="8" eb="10">
      <t>ショメイ</t>
    </rPh>
    <rPh sb="10" eb="12">
      <t>サクジョ</t>
    </rPh>
    <phoneticPr fontId="24"/>
  </si>
  <si>
    <t>-</t>
    <phoneticPr fontId="24"/>
  </si>
  <si>
    <t>非計算版作成</t>
    <rPh sb="0" eb="1">
      <t>ヒ</t>
    </rPh>
    <rPh sb="1" eb="3">
      <t>ケイサン</t>
    </rPh>
    <rPh sb="3" eb="4">
      <t>バン</t>
    </rPh>
    <rPh sb="4" eb="6">
      <t>サクセイ</t>
    </rPh>
    <phoneticPr fontId="24"/>
  </si>
  <si>
    <t>消費税不正入力牽制</t>
    <rPh sb="0" eb="3">
      <t>ショウヒゼイ</t>
    </rPh>
    <rPh sb="3" eb="5">
      <t>フセイ</t>
    </rPh>
    <rPh sb="5" eb="7">
      <t>ニュウリョク</t>
    </rPh>
    <rPh sb="7" eb="9">
      <t>ケンセイ</t>
    </rPh>
    <phoneticPr fontId="24"/>
  </si>
  <si>
    <t>10/1前後でしよう出来る消費税を指定</t>
    <rPh sb="4" eb="6">
      <t>ゼンゴ</t>
    </rPh>
    <rPh sb="10" eb="12">
      <t>デキ</t>
    </rPh>
    <rPh sb="13" eb="16">
      <t>ショウヒゼイ</t>
    </rPh>
    <rPh sb="17" eb="19">
      <t>シテイ</t>
    </rPh>
    <phoneticPr fontId="24"/>
  </si>
  <si>
    <t>P20190930</t>
    <phoneticPr fontId="24"/>
  </si>
  <si>
    <t>P20191001</t>
    <phoneticPr fontId="24"/>
  </si>
  <si>
    <t>8%仮払消費税</t>
    <phoneticPr fontId="24"/>
  </si>
  <si>
    <t>10%仮払消費税</t>
    <phoneticPr fontId="24"/>
  </si>
  <si>
    <t xml:space="preserve">     内　　　　　　 　　 　　訳 </t>
    <phoneticPr fontId="24"/>
  </si>
  <si>
    <t>消費税内税表示</t>
    <rPh sb="0" eb="3">
      <t>ショウヒゼイ</t>
    </rPh>
    <rPh sb="3" eb="5">
      <t>ウチゼイ</t>
    </rPh>
    <rPh sb="5" eb="7">
      <t>ヒョウジ</t>
    </rPh>
    <phoneticPr fontId="24"/>
  </si>
  <si>
    <t>金額(税込)</t>
    <rPh sb="0" eb="1">
      <t>キン</t>
    </rPh>
    <rPh sb="1" eb="2">
      <t>ガク</t>
    </rPh>
    <rPh sb="3" eb="5">
      <t>ゼイコ</t>
    </rPh>
    <phoneticPr fontId="24"/>
  </si>
  <si>
    <t>経費入力時を内税とし、計算及び表示は内税で計算する。</t>
    <rPh sb="0" eb="2">
      <t>ケイヒ</t>
    </rPh>
    <rPh sb="2" eb="4">
      <t>ニュウリョク</t>
    </rPh>
    <rPh sb="4" eb="5">
      <t>ジ</t>
    </rPh>
    <rPh sb="6" eb="8">
      <t>ウチゼイ</t>
    </rPh>
    <rPh sb="11" eb="13">
      <t>ケイサン</t>
    </rPh>
    <rPh sb="13" eb="14">
      <t>オヨ</t>
    </rPh>
    <rPh sb="15" eb="17">
      <t>ヒョウジ</t>
    </rPh>
    <rPh sb="18" eb="20">
      <t>ウチゼイ</t>
    </rPh>
    <rPh sb="21" eb="23">
      <t>ケイサン</t>
    </rPh>
    <phoneticPr fontId="24"/>
  </si>
  <si>
    <t>FUJISOFT807_Ver7.18</t>
    <phoneticPr fontId="24"/>
  </si>
  <si>
    <t>日当</t>
    <rPh sb="0" eb="2">
      <t>ニットウ</t>
    </rPh>
    <phoneticPr fontId="24"/>
  </si>
  <si>
    <t>出張費</t>
    <phoneticPr fontId="24"/>
  </si>
  <si>
    <t>日当の日数計算が泊数と同じ計算式となっていたため、日数に変更</t>
    <rPh sb="0" eb="2">
      <t>ニットウ</t>
    </rPh>
    <rPh sb="3" eb="5">
      <t>ニッスウ</t>
    </rPh>
    <rPh sb="5" eb="7">
      <t>ケイサン</t>
    </rPh>
    <rPh sb="8" eb="10">
      <t>ハクスウ</t>
    </rPh>
    <rPh sb="11" eb="12">
      <t>オナ</t>
    </rPh>
    <rPh sb="13" eb="16">
      <t>ケイサンシキ</t>
    </rPh>
    <rPh sb="25" eb="27">
      <t>ニッスウ</t>
    </rPh>
    <rPh sb="28" eb="30">
      <t>ヘンコウ</t>
    </rPh>
    <phoneticPr fontId="24"/>
  </si>
  <si>
    <t>出張の宿泊費・日当の計算削除</t>
    <rPh sb="0" eb="2">
      <t>シュッチョウ</t>
    </rPh>
    <rPh sb="3" eb="6">
      <t>シュクハクヒ</t>
    </rPh>
    <rPh sb="7" eb="9">
      <t>ニットウ</t>
    </rPh>
    <rPh sb="10" eb="12">
      <t>ケイサン</t>
    </rPh>
    <rPh sb="12" eb="14">
      <t>サクジョ</t>
    </rPh>
    <phoneticPr fontId="24"/>
  </si>
  <si>
    <t>宿泊費及び日当の計算を削除し、手入力とする。</t>
    <rPh sb="0" eb="3">
      <t>シュクハクヒ</t>
    </rPh>
    <rPh sb="3" eb="4">
      <t>オヨ</t>
    </rPh>
    <rPh sb="5" eb="7">
      <t>ニットウ</t>
    </rPh>
    <rPh sb="8" eb="10">
      <t>ケイサン</t>
    </rPh>
    <rPh sb="11" eb="13">
      <t>サクジョ</t>
    </rPh>
    <rPh sb="15" eb="18">
      <t>テニュウリョク</t>
    </rPh>
    <phoneticPr fontId="24"/>
  </si>
  <si>
    <t>その他</t>
    <rPh sb="2" eb="3">
      <t>タ</t>
    </rPh>
    <phoneticPr fontId="24"/>
  </si>
  <si>
    <t>PARTNER@fsi.co.jp</t>
    <phoneticPr fontId="24"/>
  </si>
  <si>
    <t>法人（ＳＬ）５技Ｇ</t>
  </si>
  <si>
    <t>法人（ＳＬ）５技Ｇ</t>
    <phoneticPr fontId="24"/>
  </si>
  <si>
    <t>株式会社アイシーズ</t>
  </si>
  <si>
    <t>株式会社アイシーズ</t>
    <phoneticPr fontId="24"/>
  </si>
  <si>
    <t>P0HJ01</t>
  </si>
  <si>
    <t>P0HJ01</t>
    <phoneticPr fontId="24"/>
  </si>
  <si>
    <t>高橋敦</t>
    <phoneticPr fontId="24"/>
  </si>
  <si>
    <t xml:space="preserve">高橋敦 </t>
  </si>
  <si>
    <t>お客様先勤怠1</t>
    <phoneticPr fontId="24"/>
  </si>
  <si>
    <t>お客様先勤怠</t>
    <phoneticPr fontId="24"/>
  </si>
  <si>
    <t>未実施</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</si>
</sst>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1">
    <numFmt numFmtId="6" formatCode="&quot;¥&quot;#,##0;[Red]&quot;¥&quot;\-#,##0"/>
    <numFmt numFmtId="176" formatCode="0.00_ "/>
    <numFmt numFmtId="177" formatCode="0_ "/>
    <numFmt numFmtId="178" formatCode="0_);[Red]\(0\)"/>
    <numFmt numFmtId="179" formatCode="#,##0;\-#,##0;&quot;-&quot;"/>
    <numFmt numFmtId="180" formatCode="[h]:mm"/>
    <numFmt numFmtId="181" formatCode=";;;"/>
    <numFmt numFmtId="182" formatCode="d\(aaa\)"/>
    <numFmt numFmtId="183" formatCode="[$-411]ggge&quot;年&quot;m&quot;月&quot;"/>
    <numFmt numFmtId="184" formatCode=";General;"/>
    <numFmt numFmtId="185" formatCode="0.00;[Red]\-0.00;#"/>
    <numFmt numFmtId="186" formatCode="[$-411]ggge&quot;年&quot;m&quot;月&quot;d&quot;日&quot;;@"/>
    <numFmt numFmtId="187" formatCode="h:mm;@"/>
    <numFmt numFmtId="188" formatCode="[h]:mm;@"/>
    <numFmt numFmtId="189" formatCode="[hh]:mm"/>
    <numFmt numFmtId="190" formatCode="m&quot;月&quot;d&quot;日(&quot;aaa&quot;)&quot;;@"/>
    <numFmt numFmtId="191" formatCode="m/d"/>
    <numFmt numFmtId="192" formatCode="0&quot;月分&quot;"/>
    <numFmt numFmtId="193" formatCode="&quot;¥&quot;#,###\-"/>
    <numFmt numFmtId="194" formatCode="&quot;¥&quot;#,##0\-"/>
    <numFmt numFmtId="195" formatCode="0;[Red]0"/>
    <numFmt numFmtId="196" formatCode="&quot;FUJISOFT979_Ver&quot;0.00"/>
    <numFmt numFmtId="197" formatCode="&quot;Ver.&quot;0.00_ "/>
    <numFmt numFmtId="198" formatCode="0&quot;泊&quot;"/>
    <numFmt numFmtId="199" formatCode="0&quot;日&quot;"/>
    <numFmt numFmtId="200" formatCode="[$-411]ggge&quot;年度分(&quot;yyyy/m/d&quot;)&quot;"/>
    <numFmt numFmtId="201" formatCode="[$-F800]dddd\,\ mmmm\ dd\,\ yyyy"/>
    <numFmt numFmtId="202" formatCode="m/d;@"/>
    <numFmt numFmtId="203" formatCode="yyyy&quot;年&quot;m&quot;月&quot;d&quot;日&quot;;@"/>
    <numFmt numFmtId="204" formatCode="yyyy&quot;年&quot;m&quot;月&quot;;@"/>
    <numFmt numFmtId="205" formatCode="&quot;FUJISOFT807_Ver&quot;0.00"/>
  </numFmts>
  <fonts count="92">
    <font>
      <sz val="11"/>
      <name val="ＭＳ Ｐゴシック"/>
      <family val="3"/>
      <charset val="128"/>
    </font>
    <font>
      <sz val="11"/>
      <color indexed="8"/>
      <name val="ＭＳ Ｐゴシック"/>
      <family val="3"/>
      <charset val="128"/>
    </font>
    <font>
      <sz val="11"/>
      <name val="ＭＳ Ｐゴシック"/>
      <family val="3"/>
      <charset val="128"/>
    </font>
    <font>
      <sz val="11"/>
      <color indexed="8"/>
      <name val="ＭＳ Ｐゴシック"/>
      <family val="3"/>
      <charset val="128"/>
    </font>
    <font>
      <sz val="11"/>
      <color indexed="9"/>
      <name val="ＭＳ Ｐゴシック"/>
      <family val="3"/>
      <charset val="128"/>
    </font>
    <font>
      <sz val="10"/>
      <color indexed="8"/>
      <name val="Arial"/>
      <family val="2"/>
    </font>
    <font>
      <b/>
      <sz val="12"/>
      <name val="Arial"/>
      <family val="2"/>
    </font>
    <font>
      <sz val="10"/>
      <name val="Arial"/>
      <family val="2"/>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u/>
      <sz val="11"/>
      <color indexed="12"/>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1"/>
      <color indexed="17"/>
      <name val="ＭＳ Ｐゴシック"/>
      <family val="3"/>
      <charset val="128"/>
    </font>
    <font>
      <sz val="6"/>
      <name val="ＭＳ Ｐゴシック"/>
      <family val="3"/>
      <charset val="128"/>
    </font>
    <font>
      <b/>
      <sz val="24"/>
      <name val="ＭＳ Ｐゴシック"/>
      <family val="3"/>
      <charset val="128"/>
    </font>
    <font>
      <sz val="14"/>
      <name val="ＭＳ Ｐゴシック"/>
      <family val="3"/>
      <charset val="128"/>
    </font>
    <font>
      <b/>
      <sz val="14"/>
      <name val="ＭＳ Ｐゴシック"/>
      <family val="3"/>
      <charset val="128"/>
    </font>
    <font>
      <sz val="10"/>
      <name val="ＭＳ Ｐゴシック"/>
      <family val="3"/>
      <charset val="128"/>
    </font>
    <font>
      <sz val="11"/>
      <color indexed="55"/>
      <name val="ＭＳ Ｐゴシック"/>
      <family val="3"/>
      <charset val="128"/>
    </font>
    <font>
      <b/>
      <sz val="12"/>
      <name val="ＭＳ Ｐゴシック"/>
      <family val="3"/>
      <charset val="128"/>
    </font>
    <font>
      <b/>
      <sz val="9"/>
      <name val="ＭＳ Ｐゴシック"/>
      <family val="3"/>
      <charset val="128"/>
    </font>
    <font>
      <sz val="9"/>
      <name val="ＭＳ Ｐゴシック"/>
      <family val="3"/>
      <charset val="128"/>
    </font>
    <font>
      <sz val="11"/>
      <name val="ＭＳ ゴシック"/>
      <family val="3"/>
      <charset val="128"/>
    </font>
    <font>
      <sz val="14"/>
      <name val="ＭＳ ゴシック"/>
      <family val="3"/>
      <charset val="128"/>
    </font>
    <font>
      <b/>
      <sz val="11"/>
      <color indexed="14"/>
      <name val="ＭＳ Ｐゴシック"/>
      <family val="3"/>
      <charset val="128"/>
    </font>
    <font>
      <b/>
      <sz val="20"/>
      <name val="ＭＳ Ｐゴシック"/>
      <family val="3"/>
      <charset val="128"/>
    </font>
    <font>
      <b/>
      <sz val="9"/>
      <color indexed="81"/>
      <name val="ＭＳ Ｐゴシック"/>
      <family val="3"/>
      <charset val="128"/>
    </font>
    <font>
      <sz val="9"/>
      <color indexed="81"/>
      <name val="ＭＳ Ｐゴシック"/>
      <family val="3"/>
      <charset val="128"/>
    </font>
    <font>
      <sz val="8"/>
      <name val="ＭＳ Ｐゴシック"/>
      <family val="3"/>
      <charset val="128"/>
    </font>
    <font>
      <sz val="12"/>
      <name val="ＭＳ Ｐゴシック"/>
      <family val="3"/>
      <charset val="128"/>
    </font>
    <font>
      <b/>
      <u/>
      <sz val="14"/>
      <color indexed="9"/>
      <name val="ＭＳ Ｐゴシック"/>
      <family val="3"/>
      <charset val="128"/>
    </font>
    <font>
      <sz val="9"/>
      <color indexed="10"/>
      <name val="ＭＳ Ｐゴシック"/>
      <family val="3"/>
      <charset val="128"/>
    </font>
    <font>
      <sz val="9"/>
      <color indexed="12"/>
      <name val="ＭＳ Ｐゴシック"/>
      <family val="3"/>
      <charset val="128"/>
    </font>
    <font>
      <u val="singleAccounting"/>
      <sz val="10"/>
      <name val="ＭＳ Ｐゴシック"/>
      <family val="3"/>
      <charset val="128"/>
    </font>
    <font>
      <b/>
      <sz val="14"/>
      <color indexed="10"/>
      <name val="ＭＳ Ｐゴシック"/>
      <family val="3"/>
      <charset val="128"/>
    </font>
    <font>
      <b/>
      <sz val="11"/>
      <name val="ＭＳ Ｐゴシック"/>
      <family val="3"/>
      <charset val="128"/>
    </font>
    <font>
      <b/>
      <sz val="14"/>
      <color indexed="9"/>
      <name val="ＭＳ Ｐゴシック"/>
      <family val="3"/>
      <charset val="128"/>
    </font>
    <font>
      <sz val="11"/>
      <name val="ＭＳ Ｐゴシック"/>
      <family val="3"/>
      <charset val="128"/>
    </font>
    <font>
      <sz val="10"/>
      <color indexed="12"/>
      <name val="ＭＳ Ｐゴシック"/>
      <family val="3"/>
      <charset val="128"/>
    </font>
    <font>
      <b/>
      <sz val="11"/>
      <color indexed="10"/>
      <name val="ＭＳ Ｐゴシック"/>
      <family val="3"/>
      <charset val="128"/>
    </font>
    <font>
      <u/>
      <sz val="11"/>
      <name val="ＭＳ Ｐゴシック"/>
      <family val="3"/>
      <charset val="128"/>
    </font>
    <font>
      <u/>
      <sz val="24"/>
      <name val="ＭＳ Ｐゴシック"/>
      <family val="3"/>
      <charset val="128"/>
    </font>
    <font>
      <b/>
      <i/>
      <u/>
      <sz val="48"/>
      <color indexed="40"/>
      <name val="ＭＳ Ｐゴシック"/>
      <family val="3"/>
      <charset val="128"/>
    </font>
    <font>
      <sz val="11"/>
      <color indexed="12"/>
      <name val="ＭＳ Ｐゴシック"/>
      <family val="3"/>
      <charset val="128"/>
    </font>
    <font>
      <sz val="24"/>
      <color indexed="12"/>
      <name val="ＭＳ Ｐゴシック"/>
      <family val="3"/>
      <charset val="128"/>
    </font>
    <font>
      <b/>
      <sz val="16"/>
      <name val="ＭＳ Ｐゴシック"/>
      <family val="3"/>
      <charset val="128"/>
    </font>
    <font>
      <b/>
      <u/>
      <sz val="14"/>
      <name val="ＭＳ Ｐゴシック"/>
      <family val="3"/>
      <charset val="128"/>
    </font>
    <font>
      <u/>
      <sz val="8"/>
      <name val="ＭＳ Ｐゴシック"/>
      <family val="3"/>
      <charset val="128"/>
    </font>
    <font>
      <u/>
      <sz val="10"/>
      <name val="ＭＳ Ｐゴシック"/>
      <family val="3"/>
      <charset val="128"/>
    </font>
    <font>
      <b/>
      <u/>
      <sz val="12"/>
      <name val="ＭＳ Ｐゴシック"/>
      <family val="3"/>
      <charset val="128"/>
    </font>
    <font>
      <b/>
      <u/>
      <sz val="11"/>
      <name val="ＭＳ Ｐゴシック"/>
      <family val="3"/>
      <charset val="128"/>
    </font>
    <font>
      <sz val="10"/>
      <name val="ＭＳ Ｐ明朝"/>
      <family val="1"/>
      <charset val="128"/>
    </font>
    <font>
      <sz val="10"/>
      <color indexed="9"/>
      <name val="ＭＳ Ｐゴシック"/>
      <family val="3"/>
      <charset val="128"/>
    </font>
    <font>
      <b/>
      <sz val="18"/>
      <color indexed="12"/>
      <name val="ＭＳ Ｐゴシック"/>
      <family val="3"/>
      <charset val="128"/>
    </font>
    <font>
      <b/>
      <u/>
      <sz val="16"/>
      <name val="ＭＳ Ｐゴシック"/>
      <family val="3"/>
      <charset val="128"/>
    </font>
    <font>
      <sz val="14"/>
      <color indexed="12"/>
      <name val="ＭＳ 明朝"/>
      <family val="1"/>
      <charset val="128"/>
    </font>
    <font>
      <b/>
      <sz val="16"/>
      <color indexed="12"/>
      <name val="ＭＳ Ｐゴシック"/>
      <family val="3"/>
      <charset val="128"/>
    </font>
    <font>
      <sz val="10"/>
      <color indexed="8"/>
      <name val="ＭＳ Ｐゴシック"/>
      <family val="3"/>
      <charset val="128"/>
    </font>
    <font>
      <sz val="24"/>
      <name val="ＭＳ Ｐゴシック"/>
      <family val="3"/>
      <charset val="128"/>
    </font>
    <font>
      <sz val="13"/>
      <name val="ＭＳ Ｐゴシック"/>
      <family val="3"/>
      <charset val="128"/>
    </font>
    <font>
      <b/>
      <sz val="22"/>
      <name val="ＭＳ Ｐゴシック"/>
      <family val="3"/>
      <charset val="128"/>
    </font>
    <font>
      <sz val="9"/>
      <name val="ＭＳ ゴシック"/>
      <family val="3"/>
      <charset val="128"/>
    </font>
    <font>
      <sz val="11"/>
      <color indexed="22"/>
      <name val="ＭＳ Ｐゴシック"/>
      <family val="3"/>
      <charset val="128"/>
    </font>
    <font>
      <b/>
      <sz val="9"/>
      <color indexed="8"/>
      <name val="ＭＳ Ｐゴシック"/>
      <family val="3"/>
      <charset val="128"/>
    </font>
    <font>
      <sz val="9"/>
      <color indexed="8"/>
      <name val="ＭＳ Ｐゴシック"/>
      <family val="3"/>
      <charset val="128"/>
    </font>
    <font>
      <b/>
      <sz val="20"/>
      <color indexed="8"/>
      <name val="Ms pgothic"/>
      <family val="3"/>
      <charset val="128"/>
    </font>
    <font>
      <b/>
      <sz val="16"/>
      <color indexed="8"/>
      <name val="Ms pgothic"/>
      <family val="3"/>
      <charset val="128"/>
    </font>
    <font>
      <sz val="16"/>
      <name val="ＭＳ Ｐゴシック"/>
      <family val="3"/>
      <charset val="128"/>
    </font>
    <font>
      <sz val="16"/>
      <color indexed="8"/>
      <name val="Ms pgothic"/>
      <family val="3"/>
      <charset val="128"/>
    </font>
    <font>
      <sz val="12"/>
      <color indexed="12"/>
      <name val="ＭＳ Ｐゴシック"/>
      <family val="3"/>
      <charset val="128"/>
    </font>
    <font>
      <b/>
      <sz val="16"/>
      <color rgb="FF000000"/>
      <name val="ＭＳ Ｐゴシック"/>
      <family val="3"/>
      <charset val="128"/>
    </font>
    <font>
      <sz val="9"/>
      <color rgb="FF000000"/>
      <name val="MS UI Gothic"/>
      <family val="3"/>
      <charset val="128"/>
    </font>
    <font>
      <sz val="11"/>
      <color rgb="FFFF00FF"/>
      <name val="ＭＳ Ｐゴシック"/>
      <family val="3"/>
      <charset val="128"/>
    </font>
    <font>
      <sz val="11"/>
      <color rgb="FF000000"/>
      <name val="ＭＳ Ｐゴシック"/>
      <family val="3"/>
      <charset val="128"/>
    </font>
    <font>
      <sz val="7"/>
      <name val="ＭＳ Ｐゴシック"/>
      <family val="3"/>
      <charset val="128"/>
    </font>
    <font>
      <sz val="7"/>
      <color indexed="12"/>
      <name val="ＭＳ Ｐゴシック"/>
      <family val="3"/>
      <charset val="128"/>
    </font>
    <font>
      <sz val="6"/>
      <name val="ＭＳ Ｐゴシック"/>
      <family val="2"/>
      <charset val="128"/>
      <scheme val="minor"/>
    </font>
    <font>
      <sz val="10"/>
      <color rgb="FF262626"/>
      <name val="ＭＳ Ｐゴシック"/>
      <family val="3"/>
      <charset val="128"/>
    </font>
    <font>
      <sz val="7"/>
      <color rgb="FF0000FF"/>
      <name val="ＭＳ Ｐゴシック"/>
      <family val="3"/>
      <charset val="128"/>
    </font>
    <font>
      <sz val="11"/>
      <color rgb="FF0000FF"/>
      <name val="ＭＳ Ｐゴシック"/>
      <family val="3"/>
      <charset val="128"/>
    </font>
    <font>
      <sz val="10"/>
      <color rgb="FF0000FF"/>
      <name val="ＭＳ Ｐゴシック"/>
      <family val="3"/>
      <charset val="128"/>
    </font>
  </fonts>
  <fills count="35">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indexed="22"/>
      </patternFill>
    </fill>
    <fill>
      <patternFill patternType="solid">
        <fgColor indexed="42"/>
        <bgColor indexed="64"/>
      </patternFill>
    </fill>
    <fill>
      <patternFill patternType="solid">
        <fgColor indexed="43"/>
        <bgColor indexed="64"/>
      </patternFill>
    </fill>
    <fill>
      <patternFill patternType="solid">
        <fgColor indexed="41"/>
        <bgColor indexed="64"/>
      </patternFill>
    </fill>
    <fill>
      <patternFill patternType="solid">
        <fgColor indexed="22"/>
        <bgColor indexed="64"/>
      </patternFill>
    </fill>
    <fill>
      <patternFill patternType="solid">
        <fgColor indexed="9"/>
        <bgColor indexed="64"/>
      </patternFill>
    </fill>
    <fill>
      <patternFill patternType="solid">
        <fgColor indexed="45"/>
        <bgColor indexed="64"/>
      </patternFill>
    </fill>
    <fill>
      <patternFill patternType="solid">
        <fgColor indexed="65"/>
        <bgColor indexed="8"/>
      </patternFill>
    </fill>
    <fill>
      <patternFill patternType="solid">
        <fgColor indexed="26"/>
        <bgColor indexed="64"/>
      </patternFill>
    </fill>
    <fill>
      <patternFill patternType="solid">
        <fgColor indexed="13"/>
        <bgColor indexed="64"/>
      </patternFill>
    </fill>
    <fill>
      <patternFill patternType="solid">
        <fgColor theme="0" tint="-0.34998626667073579"/>
        <bgColor indexed="64"/>
      </patternFill>
    </fill>
    <fill>
      <patternFill patternType="solid">
        <fgColor rgb="FFCCFFCC"/>
        <bgColor indexed="64"/>
      </patternFill>
    </fill>
  </fills>
  <borders count="182">
    <border>
      <left/>
      <right/>
      <top/>
      <bottom/>
      <diagonal/>
    </border>
    <border>
      <left/>
      <right/>
      <top style="medium">
        <color indexed="64"/>
      </top>
      <bottom style="medium">
        <color indexed="64"/>
      </bottom>
      <diagonal/>
    </border>
    <border>
      <left/>
      <right/>
      <top style="thin">
        <color indexed="64"/>
      </top>
      <bottom style="thin">
        <color indexed="64"/>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64"/>
      </left>
      <right style="thin">
        <color indexed="64"/>
      </right>
      <top style="thin">
        <color indexed="64"/>
      </top>
      <bottom style="thin">
        <color indexed="64"/>
      </bottom>
      <diagonal/>
    </border>
    <border>
      <left style="thick">
        <color indexed="64"/>
      </left>
      <right style="double">
        <color indexed="64"/>
      </right>
      <top style="thick">
        <color indexed="64"/>
      </top>
      <bottom style="double">
        <color indexed="64"/>
      </bottom>
      <diagonal/>
    </border>
    <border>
      <left/>
      <right style="hair">
        <color indexed="64"/>
      </right>
      <top style="thick">
        <color indexed="64"/>
      </top>
      <bottom style="double">
        <color indexed="64"/>
      </bottom>
      <diagonal/>
    </border>
    <border>
      <left style="hair">
        <color indexed="64"/>
      </left>
      <right style="thick">
        <color indexed="64"/>
      </right>
      <top style="thick">
        <color indexed="64"/>
      </top>
      <bottom style="double">
        <color indexed="64"/>
      </bottom>
      <diagonal/>
    </border>
    <border>
      <left style="thick">
        <color indexed="64"/>
      </left>
      <right style="double">
        <color indexed="64"/>
      </right>
      <top/>
      <bottom style="hair">
        <color indexed="64"/>
      </bottom>
      <diagonal/>
    </border>
    <border>
      <left/>
      <right style="hair">
        <color indexed="64"/>
      </right>
      <top/>
      <bottom style="hair">
        <color indexed="64"/>
      </bottom>
      <diagonal/>
    </border>
    <border>
      <left style="thick">
        <color indexed="64"/>
      </left>
      <right style="double">
        <color indexed="64"/>
      </right>
      <top style="hair">
        <color indexed="64"/>
      </top>
      <bottom style="hair">
        <color indexed="64"/>
      </bottom>
      <diagonal/>
    </border>
    <border>
      <left/>
      <right style="hair">
        <color indexed="64"/>
      </right>
      <top style="hair">
        <color indexed="64"/>
      </top>
      <bottom style="hair">
        <color indexed="64"/>
      </bottom>
      <diagonal/>
    </border>
    <border>
      <left style="hair">
        <color indexed="64"/>
      </left>
      <right style="thick">
        <color indexed="64"/>
      </right>
      <top style="hair">
        <color indexed="64"/>
      </top>
      <bottom style="hair">
        <color indexed="64"/>
      </bottom>
      <diagonal/>
    </border>
    <border>
      <left style="hair">
        <color indexed="64"/>
      </left>
      <right style="hair">
        <color indexed="64"/>
      </right>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bottom style="medium">
        <color indexed="64"/>
      </bottom>
      <diagonal/>
    </border>
    <border>
      <left/>
      <right style="thin">
        <color indexed="64"/>
      </right>
      <top/>
      <bottom style="medium">
        <color indexed="64"/>
      </bottom>
      <diagonal/>
    </border>
    <border>
      <left style="hair">
        <color indexed="64"/>
      </left>
      <right/>
      <top/>
      <bottom style="hair">
        <color indexed="64"/>
      </bottom>
      <diagonal/>
    </border>
    <border>
      <left/>
      <right/>
      <top/>
      <bottom style="hair">
        <color indexed="64"/>
      </bottom>
      <diagonal/>
    </border>
    <border>
      <left style="hair">
        <color indexed="64"/>
      </left>
      <right style="thin">
        <color indexed="64"/>
      </right>
      <top style="hair">
        <color indexed="64"/>
      </top>
      <bottom style="hair">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ck">
        <color indexed="64"/>
      </left>
      <right style="double">
        <color indexed="64"/>
      </right>
      <top style="thick">
        <color indexed="64"/>
      </top>
      <bottom/>
      <diagonal/>
    </border>
    <border>
      <left/>
      <right/>
      <top style="thick">
        <color indexed="64"/>
      </top>
      <bottom/>
      <diagonal/>
    </border>
    <border>
      <left style="medium">
        <color indexed="64"/>
      </left>
      <right/>
      <top style="thick">
        <color indexed="64"/>
      </top>
      <bottom style="medium">
        <color indexed="64"/>
      </bottom>
      <diagonal/>
    </border>
    <border>
      <left/>
      <right/>
      <top style="thick">
        <color indexed="64"/>
      </top>
      <bottom style="medium">
        <color indexed="64"/>
      </bottom>
      <diagonal/>
    </border>
    <border>
      <left/>
      <right style="medium">
        <color indexed="64"/>
      </right>
      <top style="thick">
        <color indexed="64"/>
      </top>
      <bottom style="medium">
        <color indexed="64"/>
      </bottom>
      <diagonal/>
    </border>
    <border>
      <left/>
      <right style="thick">
        <color indexed="64"/>
      </right>
      <top style="thick">
        <color indexed="64"/>
      </top>
      <bottom style="medium">
        <color indexed="64"/>
      </bottom>
      <diagonal/>
    </border>
    <border>
      <left style="thick">
        <color indexed="64"/>
      </left>
      <right style="double">
        <color indexed="64"/>
      </right>
      <top/>
      <bottom style="double">
        <color indexed="64"/>
      </bottom>
      <diagonal/>
    </border>
    <border>
      <left style="double">
        <color indexed="64"/>
      </left>
      <right/>
      <top/>
      <bottom style="double">
        <color indexed="64"/>
      </bottom>
      <diagonal/>
    </border>
    <border>
      <left/>
      <right/>
      <top/>
      <bottom style="double">
        <color indexed="64"/>
      </bottom>
      <diagonal/>
    </border>
    <border>
      <left style="medium">
        <color indexed="64"/>
      </left>
      <right/>
      <top/>
      <bottom style="double">
        <color indexed="64"/>
      </bottom>
      <diagonal/>
    </border>
    <border>
      <left/>
      <right style="medium">
        <color indexed="64"/>
      </right>
      <top/>
      <bottom style="double">
        <color indexed="64"/>
      </bottom>
      <diagonal/>
    </border>
    <border>
      <left/>
      <right style="thick">
        <color indexed="64"/>
      </right>
      <top/>
      <bottom style="double">
        <color indexed="64"/>
      </bottom>
      <diagonal/>
    </border>
    <border>
      <left style="thick">
        <color indexed="64"/>
      </left>
      <right style="double">
        <color indexed="64"/>
      </right>
      <top/>
      <bottom style="thin">
        <color indexed="64"/>
      </bottom>
      <diagonal/>
    </border>
    <border>
      <left style="medium">
        <color indexed="64"/>
      </left>
      <right/>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top/>
      <bottom style="medium">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top style="medium">
        <color indexed="64"/>
      </top>
      <bottom style="double">
        <color indexed="64"/>
      </bottom>
      <diagonal/>
    </border>
    <border>
      <left style="thin">
        <color indexed="64"/>
      </left>
      <right style="thin">
        <color indexed="64"/>
      </right>
      <top style="medium">
        <color indexed="64"/>
      </top>
      <bottom style="double">
        <color indexed="64"/>
      </bottom>
      <diagonal/>
    </border>
    <border>
      <left style="medium">
        <color indexed="64"/>
      </left>
      <right style="hair">
        <color indexed="64"/>
      </right>
      <top style="hair">
        <color indexed="64"/>
      </top>
      <bottom style="double">
        <color indexed="64"/>
      </bottom>
      <diagonal/>
    </border>
    <border>
      <left/>
      <right style="medium">
        <color indexed="64"/>
      </right>
      <top style="thin">
        <color indexed="64"/>
      </top>
      <bottom style="thin">
        <color indexed="64"/>
      </bottom>
      <diagonal/>
    </border>
    <border>
      <left style="hair">
        <color indexed="64"/>
      </left>
      <right style="hair">
        <color indexed="64"/>
      </right>
      <top style="double">
        <color indexed="64"/>
      </top>
      <bottom style="hair">
        <color indexed="64"/>
      </bottom>
      <diagonal/>
    </border>
    <border>
      <left style="double">
        <color indexed="64"/>
      </left>
      <right style="thin">
        <color indexed="64"/>
      </right>
      <top style="double">
        <color indexed="64"/>
      </top>
      <bottom style="thin">
        <color indexed="64"/>
      </bottom>
      <diagonal/>
    </border>
    <border>
      <left style="double">
        <color indexed="64"/>
      </left>
      <right style="thin">
        <color indexed="64"/>
      </right>
      <top/>
      <bottom style="thin">
        <color indexed="64"/>
      </bottom>
      <diagonal/>
    </border>
    <border>
      <left style="double">
        <color indexed="64"/>
      </left>
      <right style="thin">
        <color indexed="64"/>
      </right>
      <top/>
      <bottom/>
      <diagonal/>
    </border>
    <border>
      <left style="double">
        <color indexed="64"/>
      </left>
      <right style="thin">
        <color indexed="64"/>
      </right>
      <top style="thin">
        <color indexed="64"/>
      </top>
      <bottom style="double">
        <color indexed="64"/>
      </bottom>
      <diagonal/>
    </border>
    <border>
      <left/>
      <right style="medium">
        <color indexed="64"/>
      </right>
      <top style="medium">
        <color indexed="64"/>
      </top>
      <bottom style="hair">
        <color indexed="64"/>
      </bottom>
      <diagonal/>
    </border>
    <border>
      <left/>
      <right style="medium">
        <color indexed="64"/>
      </right>
      <top/>
      <bottom style="hair">
        <color indexed="64"/>
      </bottom>
      <diagonal/>
    </border>
    <border>
      <left/>
      <right style="medium">
        <color indexed="64"/>
      </right>
      <top style="hair">
        <color indexed="64"/>
      </top>
      <bottom style="hair">
        <color indexed="64"/>
      </bottom>
      <diagonal/>
    </border>
    <border>
      <left/>
      <right style="medium">
        <color indexed="64"/>
      </right>
      <top style="hair">
        <color indexed="64"/>
      </top>
      <bottom style="medium">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top style="thin">
        <color indexed="64"/>
      </top>
      <bottom style="medium">
        <color indexed="64"/>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style="medium">
        <color indexed="64"/>
      </left>
      <right/>
      <top/>
      <bottom style="hair">
        <color indexed="64"/>
      </bottom>
      <diagonal/>
    </border>
    <border>
      <left style="medium">
        <color indexed="64"/>
      </left>
      <right/>
      <top style="hair">
        <color indexed="64"/>
      </top>
      <bottom style="hair">
        <color indexed="64"/>
      </bottom>
      <diagonal/>
    </border>
    <border>
      <left/>
      <right/>
      <top style="hair">
        <color indexed="64"/>
      </top>
      <bottom style="medium">
        <color indexed="64"/>
      </bottom>
      <diagonal/>
    </border>
    <border>
      <left style="medium">
        <color indexed="64"/>
      </left>
      <right/>
      <top style="hair">
        <color indexed="64"/>
      </top>
      <bottom style="medium">
        <color indexed="64"/>
      </bottom>
      <diagonal/>
    </border>
    <border>
      <left style="medium">
        <color indexed="64"/>
      </left>
      <right style="hair">
        <color indexed="64"/>
      </right>
      <top style="double">
        <color indexed="64"/>
      </top>
      <bottom style="hair">
        <color indexed="64"/>
      </bottom>
      <diagonal/>
    </border>
    <border>
      <left style="hair">
        <color indexed="64"/>
      </left>
      <right style="hair">
        <color indexed="64"/>
      </right>
      <top style="hair">
        <color indexed="64"/>
      </top>
      <bottom style="double">
        <color indexed="64"/>
      </bottom>
      <diagonal/>
    </border>
    <border>
      <left style="medium">
        <color indexed="64"/>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double">
        <color indexed="64"/>
      </bottom>
      <diagonal/>
    </border>
    <border>
      <left/>
      <right/>
      <top style="medium">
        <color indexed="64"/>
      </top>
      <bottom style="double">
        <color indexed="64"/>
      </bottom>
      <diagonal/>
    </border>
    <border>
      <left style="hair">
        <color indexed="64"/>
      </left>
      <right style="thin">
        <color indexed="64"/>
      </right>
      <top/>
      <bottom style="hair">
        <color indexed="64"/>
      </bottom>
      <diagonal/>
    </border>
    <border>
      <left style="medium">
        <color indexed="64"/>
      </left>
      <right style="medium">
        <color indexed="64"/>
      </right>
      <top style="medium">
        <color indexed="64"/>
      </top>
      <bottom style="medium">
        <color indexed="64"/>
      </bottom>
      <diagonal/>
    </border>
    <border>
      <left style="hair">
        <color indexed="64"/>
      </left>
      <right style="thin">
        <color indexed="64"/>
      </right>
      <top style="double">
        <color indexed="64"/>
      </top>
      <bottom style="hair">
        <color indexed="64"/>
      </bottom>
      <diagonal/>
    </border>
    <border>
      <left style="hair">
        <color indexed="64"/>
      </left>
      <right/>
      <top/>
      <bottom style="double">
        <color indexed="64"/>
      </bottom>
      <diagonal/>
    </border>
    <border>
      <left/>
      <right style="hair">
        <color indexed="64"/>
      </right>
      <top/>
      <bottom style="double">
        <color indexed="64"/>
      </bottom>
      <diagonal/>
    </border>
    <border>
      <left style="hair">
        <color indexed="64"/>
      </left>
      <right style="hair">
        <color indexed="64"/>
      </right>
      <top/>
      <bottom style="double">
        <color indexed="64"/>
      </bottom>
      <diagonal/>
    </border>
    <border>
      <left style="hair">
        <color indexed="64"/>
      </left>
      <right style="thin">
        <color indexed="64"/>
      </right>
      <top/>
      <bottom style="double">
        <color indexed="64"/>
      </bottom>
      <diagonal/>
    </border>
    <border>
      <left style="hair">
        <color indexed="64"/>
      </left>
      <right style="hair">
        <color indexed="64"/>
      </right>
      <top style="double">
        <color indexed="64"/>
      </top>
      <bottom style="double">
        <color indexed="64"/>
      </bottom>
      <diagonal/>
    </border>
    <border>
      <left/>
      <right style="thick">
        <color indexed="64"/>
      </right>
      <top/>
      <bottom/>
      <diagonal/>
    </border>
    <border>
      <left/>
      <right/>
      <top style="hair">
        <color indexed="64"/>
      </top>
      <bottom style="hair">
        <color indexed="64"/>
      </bottom>
      <diagonal/>
    </border>
    <border>
      <left style="thin">
        <color indexed="64"/>
      </left>
      <right style="hair">
        <color indexed="64"/>
      </right>
      <top/>
      <bottom style="medium">
        <color indexed="64"/>
      </bottom>
      <diagonal/>
    </border>
    <border>
      <left style="hair">
        <color indexed="64"/>
      </left>
      <right style="thin">
        <color indexed="64"/>
      </right>
      <top/>
      <bottom style="medium">
        <color indexed="64"/>
      </bottom>
      <diagonal/>
    </border>
    <border>
      <left/>
      <right style="hair">
        <color indexed="64"/>
      </right>
      <top/>
      <bottom style="medium">
        <color indexed="64"/>
      </bottom>
      <diagonal/>
    </border>
    <border>
      <left style="hair">
        <color indexed="64"/>
      </left>
      <right style="hair">
        <color indexed="64"/>
      </right>
      <top/>
      <bottom style="medium">
        <color indexed="64"/>
      </bottom>
      <diagonal/>
    </border>
    <border>
      <left/>
      <right style="hair">
        <color indexed="64"/>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style="hair">
        <color indexed="64"/>
      </left>
      <right style="thin">
        <color indexed="64"/>
      </right>
      <top style="hair">
        <color indexed="64"/>
      </top>
      <bottom style="medium">
        <color indexed="64"/>
      </bottom>
      <diagonal/>
    </border>
    <border>
      <left style="thin">
        <color indexed="64"/>
      </left>
      <right style="thin">
        <color indexed="64"/>
      </right>
      <top style="thin">
        <color indexed="64"/>
      </top>
      <bottom style="medium">
        <color indexed="64"/>
      </bottom>
      <diagonal/>
    </border>
    <border>
      <left style="thick">
        <color indexed="64"/>
      </left>
      <right style="double">
        <color indexed="64"/>
      </right>
      <top/>
      <bottom style="medium">
        <color indexed="64"/>
      </bottom>
      <diagonal/>
    </border>
    <border>
      <left/>
      <right style="thick">
        <color indexed="64"/>
      </right>
      <top/>
      <bottom style="medium">
        <color indexed="64"/>
      </bottom>
      <diagonal/>
    </border>
    <border>
      <left style="medium">
        <color indexed="64"/>
      </left>
      <right style="double">
        <color indexed="64"/>
      </right>
      <top style="medium">
        <color indexed="64"/>
      </top>
      <bottom style="medium">
        <color indexed="64"/>
      </bottom>
      <diagonal/>
    </border>
    <border>
      <left style="thin">
        <color indexed="64"/>
      </left>
      <right style="hair">
        <color indexed="64"/>
      </right>
      <top style="double">
        <color indexed="64"/>
      </top>
      <bottom style="hair">
        <color indexed="64"/>
      </bottom>
      <diagonal/>
    </border>
    <border>
      <left style="medium">
        <color indexed="64"/>
      </left>
      <right style="thin">
        <color indexed="64"/>
      </right>
      <top style="hair">
        <color indexed="64"/>
      </top>
      <bottom style="hair">
        <color indexed="64"/>
      </bottom>
      <diagonal/>
    </border>
    <border>
      <left/>
      <right style="thin">
        <color indexed="64"/>
      </right>
      <top style="medium">
        <color indexed="64"/>
      </top>
      <bottom style="thin">
        <color indexed="64"/>
      </bottom>
      <diagonal/>
    </border>
    <border>
      <left style="medium">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bottom style="thin">
        <color indexed="64"/>
      </bottom>
      <diagonal/>
    </border>
    <border>
      <left style="thin">
        <color indexed="64"/>
      </left>
      <right/>
      <top style="medium">
        <color indexed="64"/>
      </top>
      <bottom style="medium">
        <color indexed="64"/>
      </bottom>
      <diagonal/>
    </border>
    <border>
      <left style="hair">
        <color indexed="64"/>
      </left>
      <right/>
      <top style="double">
        <color indexed="64"/>
      </top>
      <bottom style="hair">
        <color indexed="64"/>
      </bottom>
      <diagonal/>
    </border>
    <border>
      <left style="hair">
        <color indexed="64"/>
      </left>
      <right/>
      <top style="hair">
        <color indexed="64"/>
      </top>
      <bottom style="hair">
        <color indexed="64"/>
      </bottom>
      <diagonal/>
    </border>
    <border>
      <left style="thin">
        <color indexed="64"/>
      </left>
      <right style="hair">
        <color indexed="64"/>
      </right>
      <top style="hair">
        <color indexed="64"/>
      </top>
      <bottom style="hair">
        <color indexed="64"/>
      </bottom>
      <diagonal/>
    </border>
    <border>
      <left style="medium">
        <color indexed="64"/>
      </left>
      <right/>
      <top style="medium">
        <color indexed="64"/>
      </top>
      <bottom style="double">
        <color indexed="64"/>
      </bottom>
      <diagonal/>
    </border>
    <border>
      <left style="medium">
        <color indexed="64"/>
      </left>
      <right style="medium">
        <color indexed="64"/>
      </right>
      <top style="medium">
        <color indexed="64"/>
      </top>
      <bottom style="double">
        <color indexed="64"/>
      </bottom>
      <diagonal/>
    </border>
    <border>
      <left/>
      <right style="medium">
        <color indexed="64"/>
      </right>
      <top style="medium">
        <color indexed="64"/>
      </top>
      <bottom style="double">
        <color indexed="64"/>
      </bottom>
      <diagonal/>
    </border>
    <border>
      <left style="hair">
        <color indexed="64"/>
      </left>
      <right/>
      <top style="hair">
        <color indexed="64"/>
      </top>
      <bottom style="medium">
        <color indexed="64"/>
      </bottom>
      <diagonal/>
    </border>
    <border>
      <left style="medium">
        <color indexed="64"/>
      </left>
      <right style="thin">
        <color indexed="64"/>
      </right>
      <top/>
      <bottom style="hair">
        <color indexed="64"/>
      </bottom>
      <diagonal/>
    </border>
    <border>
      <left style="medium">
        <color indexed="64"/>
      </left>
      <right style="thin">
        <color indexed="64"/>
      </right>
      <top style="hair">
        <color indexed="64"/>
      </top>
      <bottom style="medium">
        <color indexed="64"/>
      </bottom>
      <diagonal/>
    </border>
    <border>
      <left/>
      <right style="thin">
        <color indexed="64"/>
      </right>
      <top style="medium">
        <color indexed="64"/>
      </top>
      <bottom style="hair">
        <color indexed="64"/>
      </bottom>
      <diagonal/>
    </border>
    <border>
      <left style="thin">
        <color indexed="64"/>
      </left>
      <right/>
      <top style="medium">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medium">
        <color indexed="64"/>
      </bottom>
      <diagonal/>
    </border>
    <border>
      <left/>
      <right/>
      <top style="thick">
        <color indexed="64"/>
      </top>
      <bottom style="double">
        <color indexed="64"/>
      </bottom>
      <diagonal/>
    </border>
    <border>
      <left style="hair">
        <color indexed="64"/>
      </left>
      <right style="medium">
        <color indexed="64"/>
      </right>
      <top style="hair">
        <color indexed="64"/>
      </top>
      <bottom style="hair">
        <color indexed="64"/>
      </bottom>
      <diagonal/>
    </border>
    <border>
      <left/>
      <right style="hair">
        <color indexed="64"/>
      </right>
      <top style="double">
        <color indexed="64"/>
      </top>
      <bottom style="hair">
        <color indexed="64"/>
      </bottom>
      <diagonal/>
    </border>
    <border>
      <left style="hair">
        <color indexed="64"/>
      </left>
      <right style="medium">
        <color indexed="64"/>
      </right>
      <top style="double">
        <color indexed="64"/>
      </top>
      <bottom style="hair">
        <color indexed="64"/>
      </bottom>
      <diagonal/>
    </border>
    <border>
      <left/>
      <right style="thin">
        <color indexed="64"/>
      </right>
      <top style="medium">
        <color indexed="64"/>
      </top>
      <bottom style="medium">
        <color indexed="64"/>
      </bottom>
      <diagonal/>
    </border>
    <border>
      <left/>
      <right style="thin">
        <color indexed="64"/>
      </right>
      <top style="medium">
        <color indexed="64"/>
      </top>
      <bottom style="double">
        <color indexed="64"/>
      </bottom>
      <diagonal/>
    </border>
    <border>
      <left style="thin">
        <color indexed="64"/>
      </left>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style="hair">
        <color indexed="64"/>
      </left>
      <right style="medium">
        <color indexed="64"/>
      </right>
      <top/>
      <bottom style="hair">
        <color indexed="64"/>
      </bottom>
      <diagonal/>
    </border>
    <border>
      <left style="medium">
        <color indexed="64"/>
      </left>
      <right style="thin">
        <color indexed="64"/>
      </right>
      <top style="thin">
        <color indexed="64"/>
      </top>
      <bottom style="thin">
        <color indexed="64"/>
      </bottom>
      <diagonal/>
    </border>
    <border>
      <left style="hair">
        <color indexed="64"/>
      </left>
      <right/>
      <top style="hair">
        <color indexed="64"/>
      </top>
      <bottom style="double">
        <color indexed="64"/>
      </bottom>
      <diagonal/>
    </border>
    <border>
      <left style="hair">
        <color indexed="64"/>
      </left>
      <right style="medium">
        <color indexed="64"/>
      </right>
      <top style="hair">
        <color indexed="64"/>
      </top>
      <bottom style="double">
        <color indexed="64"/>
      </bottom>
      <diagonal/>
    </border>
    <border>
      <left style="thin">
        <color indexed="64"/>
      </left>
      <right style="medium">
        <color indexed="64"/>
      </right>
      <top style="thin">
        <color indexed="64"/>
      </top>
      <bottom style="thin">
        <color indexed="64"/>
      </bottom>
      <diagonal/>
    </border>
    <border>
      <left/>
      <right/>
      <top style="double">
        <color indexed="64"/>
      </top>
      <bottom style="medium">
        <color indexed="64"/>
      </bottom>
      <diagonal/>
    </border>
    <border>
      <left/>
      <right style="medium">
        <color indexed="64"/>
      </right>
      <top style="double">
        <color indexed="64"/>
      </top>
      <bottom style="medium">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bottom/>
      <diagonal/>
    </border>
    <border>
      <left style="medium">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diagonal/>
    </border>
    <border>
      <left style="hair">
        <color indexed="64"/>
      </left>
      <right style="medium">
        <color indexed="64"/>
      </right>
      <top/>
      <bottom style="medium">
        <color indexed="64"/>
      </bottom>
      <diagonal/>
    </border>
    <border>
      <left style="medium">
        <color indexed="64"/>
      </left>
      <right/>
      <top style="double">
        <color indexed="64"/>
      </top>
      <bottom style="hair">
        <color indexed="64"/>
      </bottom>
      <diagonal/>
    </border>
    <border>
      <left/>
      <right style="thin">
        <color indexed="64"/>
      </right>
      <top style="double">
        <color indexed="64"/>
      </top>
      <bottom style="hair">
        <color indexed="64"/>
      </bottom>
      <diagonal/>
    </border>
    <border>
      <left style="thin">
        <color indexed="64"/>
      </left>
      <right style="hair">
        <color indexed="64"/>
      </right>
      <top style="medium">
        <color indexed="64"/>
      </top>
      <bottom style="double">
        <color indexed="64"/>
      </bottom>
      <diagonal/>
    </border>
    <border>
      <left style="hair">
        <color indexed="64"/>
      </left>
      <right style="hair">
        <color indexed="64"/>
      </right>
      <top style="medium">
        <color indexed="64"/>
      </top>
      <bottom style="double">
        <color indexed="64"/>
      </bottom>
      <diagonal/>
    </border>
    <border>
      <left style="hair">
        <color indexed="64"/>
      </left>
      <right style="thin">
        <color indexed="64"/>
      </right>
      <top style="medium">
        <color indexed="64"/>
      </top>
      <bottom style="double">
        <color indexed="64"/>
      </bottom>
      <diagonal/>
    </border>
    <border>
      <left/>
      <right/>
      <top style="hair">
        <color indexed="64"/>
      </top>
      <bottom/>
      <diagonal/>
    </border>
    <border>
      <left/>
      <right/>
      <top style="double">
        <color indexed="64"/>
      </top>
      <bottom style="hair">
        <color indexed="64"/>
      </bottom>
      <diagonal/>
    </border>
    <border>
      <left style="thin">
        <color indexed="64"/>
      </left>
      <right style="medium">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
      <left/>
      <right style="double">
        <color indexed="64"/>
      </right>
      <top style="double">
        <color indexed="64"/>
      </top>
      <bottom style="thin">
        <color indexed="64"/>
      </bottom>
      <diagonal/>
    </border>
    <border>
      <left/>
      <right style="double">
        <color indexed="64"/>
      </right>
      <top style="thin">
        <color indexed="64"/>
      </top>
      <bottom style="double">
        <color indexed="64"/>
      </bottom>
      <diagonal/>
    </border>
    <border>
      <left style="thin">
        <color indexed="64"/>
      </left>
      <right/>
      <top style="double">
        <color indexed="64"/>
      </top>
      <bottom style="thin">
        <color indexed="64"/>
      </bottom>
      <diagonal/>
    </border>
    <border>
      <left style="thin">
        <color indexed="64"/>
      </left>
      <right/>
      <top style="thin">
        <color indexed="64"/>
      </top>
      <bottom style="double">
        <color indexed="64"/>
      </bottom>
      <diagonal/>
    </border>
    <border>
      <left/>
      <right style="double">
        <color indexed="64"/>
      </right>
      <top style="thin">
        <color indexed="64"/>
      </top>
      <bottom style="thin">
        <color indexed="64"/>
      </bottom>
      <diagonal/>
    </border>
    <border>
      <left style="thin">
        <color indexed="64"/>
      </left>
      <right/>
      <top style="thin">
        <color indexed="64"/>
      </top>
      <bottom/>
      <diagonal/>
    </border>
  </borders>
  <cellStyleXfs count="55">
    <xf numFmtId="0" fontId="0" fillId="0" borderId="0">
      <alignment vertical="center"/>
    </xf>
    <xf numFmtId="0" fontId="3" fillId="2" borderId="0" applyNumberFormat="0" applyBorder="0" applyAlignment="0" applyProtection="0">
      <alignment vertical="center"/>
    </xf>
    <xf numFmtId="0" fontId="3" fillId="3" borderId="0" applyNumberFormat="0" applyBorder="0" applyAlignment="0" applyProtection="0">
      <alignment vertical="center"/>
    </xf>
    <xf numFmtId="0" fontId="3" fillId="4" borderId="0" applyNumberFormat="0" applyBorder="0" applyAlignment="0" applyProtection="0">
      <alignment vertical="center"/>
    </xf>
    <xf numFmtId="0" fontId="3" fillId="5" borderId="0" applyNumberFormat="0" applyBorder="0" applyAlignment="0" applyProtection="0">
      <alignment vertical="center"/>
    </xf>
    <xf numFmtId="0" fontId="3" fillId="6" borderId="0" applyNumberFormat="0" applyBorder="0" applyAlignment="0" applyProtection="0">
      <alignment vertical="center"/>
    </xf>
    <xf numFmtId="0" fontId="3" fillId="7" borderId="0" applyNumberFormat="0" applyBorder="0" applyAlignment="0" applyProtection="0">
      <alignment vertical="center"/>
    </xf>
    <xf numFmtId="0" fontId="3" fillId="8" borderId="0" applyNumberFormat="0" applyBorder="0" applyAlignment="0" applyProtection="0">
      <alignment vertical="center"/>
    </xf>
    <xf numFmtId="0" fontId="3" fillId="9" borderId="0" applyNumberFormat="0" applyBorder="0" applyAlignment="0" applyProtection="0">
      <alignment vertical="center"/>
    </xf>
    <xf numFmtId="0" fontId="3" fillId="10" borderId="0" applyNumberFormat="0" applyBorder="0" applyAlignment="0" applyProtection="0">
      <alignment vertical="center"/>
    </xf>
    <xf numFmtId="0" fontId="3" fillId="5" borderId="0" applyNumberFormat="0" applyBorder="0" applyAlignment="0" applyProtection="0">
      <alignment vertical="center"/>
    </xf>
    <xf numFmtId="0" fontId="3" fillId="8" borderId="0" applyNumberFormat="0" applyBorder="0" applyAlignment="0" applyProtection="0">
      <alignment vertical="center"/>
    </xf>
    <xf numFmtId="0" fontId="3" fillId="11" borderId="0" applyNumberFormat="0" applyBorder="0" applyAlignment="0" applyProtection="0">
      <alignment vertical="center"/>
    </xf>
    <xf numFmtId="0" fontId="4" fillId="12" borderId="0" applyNumberFormat="0" applyBorder="0" applyAlignment="0" applyProtection="0">
      <alignment vertical="center"/>
    </xf>
    <xf numFmtId="0" fontId="4" fillId="9" borderId="0" applyNumberFormat="0" applyBorder="0" applyAlignment="0" applyProtection="0">
      <alignment vertical="center"/>
    </xf>
    <xf numFmtId="0" fontId="4" fillId="10" borderId="0" applyNumberFormat="0" applyBorder="0" applyAlignment="0" applyProtection="0">
      <alignment vertical="center"/>
    </xf>
    <xf numFmtId="0" fontId="4" fillId="13"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179" fontId="5" fillId="0" borderId="0" applyFill="0" applyBorder="0" applyAlignment="0"/>
    <xf numFmtId="0" fontId="6" fillId="0" borderId="1" applyNumberFormat="0" applyAlignment="0" applyProtection="0">
      <alignment horizontal="left" vertical="center"/>
    </xf>
    <xf numFmtId="0" fontId="6" fillId="0" borderId="2">
      <alignment horizontal="left" vertical="center"/>
    </xf>
    <xf numFmtId="0" fontId="7" fillId="0" borderId="0"/>
    <xf numFmtId="0" fontId="4" fillId="16" borderId="0" applyNumberFormat="0" applyBorder="0" applyAlignment="0" applyProtection="0">
      <alignment vertical="center"/>
    </xf>
    <xf numFmtId="0" fontId="4" fillId="17" borderId="0" applyNumberFormat="0" applyBorder="0" applyAlignment="0" applyProtection="0">
      <alignment vertical="center"/>
    </xf>
    <xf numFmtId="0" fontId="4" fillId="18" borderId="0" applyNumberFormat="0" applyBorder="0" applyAlignment="0" applyProtection="0">
      <alignment vertical="center"/>
    </xf>
    <xf numFmtId="0" fontId="4" fillId="13" borderId="0" applyNumberFormat="0" applyBorder="0" applyAlignment="0" applyProtection="0">
      <alignment vertical="center"/>
    </xf>
    <xf numFmtId="0" fontId="4" fillId="14" borderId="0" applyNumberFormat="0" applyBorder="0" applyAlignment="0" applyProtection="0">
      <alignment vertical="center"/>
    </xf>
    <xf numFmtId="0" fontId="4" fillId="19" borderId="0" applyNumberFormat="0" applyBorder="0" applyAlignment="0" applyProtection="0">
      <alignment vertical="center"/>
    </xf>
    <xf numFmtId="0" fontId="8" fillId="0" borderId="0" applyNumberFormat="0" applyFill="0" applyBorder="0" applyAlignment="0" applyProtection="0">
      <alignment vertical="center"/>
    </xf>
    <xf numFmtId="0" fontId="9" fillId="20" borderId="3" applyNumberFormat="0" applyAlignment="0" applyProtection="0">
      <alignment vertical="center"/>
    </xf>
    <xf numFmtId="0" fontId="10" fillId="21" borderId="0" applyNumberFormat="0" applyBorder="0" applyAlignment="0" applyProtection="0">
      <alignment vertical="center"/>
    </xf>
    <xf numFmtId="0" fontId="11" fillId="0" borderId="0" applyNumberFormat="0" applyFill="0" applyBorder="0" applyAlignment="0" applyProtection="0">
      <alignment vertical="top"/>
      <protection locked="0"/>
    </xf>
    <xf numFmtId="0" fontId="2" fillId="22" borderId="4" applyNumberFormat="0" applyFont="0" applyAlignment="0" applyProtection="0">
      <alignment vertical="center"/>
    </xf>
    <xf numFmtId="0" fontId="12" fillId="0" borderId="5" applyNumberFormat="0" applyFill="0" applyAlignment="0" applyProtection="0">
      <alignment vertical="center"/>
    </xf>
    <xf numFmtId="0" fontId="13" fillId="3" borderId="0" applyNumberFormat="0" applyBorder="0" applyAlignment="0" applyProtection="0">
      <alignment vertical="center"/>
    </xf>
    <xf numFmtId="0" fontId="14" fillId="23" borderId="6" applyNumberFormat="0" applyAlignment="0" applyProtection="0">
      <alignment vertical="center"/>
    </xf>
    <xf numFmtId="0" fontId="15" fillId="0" borderId="0" applyNumberFormat="0" applyFill="0" applyBorder="0" applyAlignment="0" applyProtection="0">
      <alignment vertical="center"/>
    </xf>
    <xf numFmtId="38" fontId="2" fillId="0" borderId="0" applyFont="0" applyFill="0" applyBorder="0" applyAlignment="0" applyProtection="0">
      <alignment vertical="center"/>
    </xf>
    <xf numFmtId="0" fontId="16" fillId="0" borderId="7" applyNumberFormat="0" applyFill="0" applyAlignment="0" applyProtection="0">
      <alignment vertical="center"/>
    </xf>
    <xf numFmtId="0" fontId="17" fillId="0" borderId="8" applyNumberFormat="0" applyFill="0" applyAlignment="0" applyProtection="0">
      <alignment vertical="center"/>
    </xf>
    <xf numFmtId="0" fontId="18" fillId="0" borderId="9" applyNumberFormat="0" applyFill="0" applyAlignment="0" applyProtection="0">
      <alignment vertical="center"/>
    </xf>
    <xf numFmtId="0" fontId="18" fillId="0" borderId="0" applyNumberFormat="0" applyFill="0" applyBorder="0" applyAlignment="0" applyProtection="0">
      <alignment vertical="center"/>
    </xf>
    <xf numFmtId="0" fontId="19" fillId="0" borderId="10" applyNumberFormat="0" applyFill="0" applyAlignment="0" applyProtection="0">
      <alignment vertical="center"/>
    </xf>
    <xf numFmtId="0" fontId="20" fillId="23" borderId="11" applyNumberFormat="0" applyAlignment="0" applyProtection="0">
      <alignment vertical="center"/>
    </xf>
    <xf numFmtId="0" fontId="21" fillId="0" borderId="0" applyNumberFormat="0" applyFill="0" applyBorder="0" applyAlignment="0" applyProtection="0">
      <alignment vertical="center"/>
    </xf>
    <xf numFmtId="6" fontId="2" fillId="0" borderId="0" applyFont="0" applyFill="0" applyBorder="0" applyAlignment="0" applyProtection="0">
      <alignment vertical="center"/>
    </xf>
    <xf numFmtId="0" fontId="22" fillId="7" borderId="6" applyNumberFormat="0" applyAlignment="0" applyProtection="0">
      <alignment vertical="center"/>
    </xf>
    <xf numFmtId="0" fontId="2" fillId="0" borderId="0">
      <alignment vertical="center"/>
    </xf>
    <xf numFmtId="0" fontId="2" fillId="0" borderId="0">
      <alignment vertical="center"/>
    </xf>
    <xf numFmtId="0" fontId="2" fillId="0" borderId="0"/>
    <xf numFmtId="0" fontId="2" fillId="0" borderId="0"/>
    <xf numFmtId="0" fontId="2" fillId="0" borderId="0"/>
    <xf numFmtId="0" fontId="23" fillId="4" borderId="0" applyNumberFormat="0" applyBorder="0" applyAlignment="0" applyProtection="0">
      <alignment vertical="center"/>
    </xf>
    <xf numFmtId="0" fontId="2" fillId="0" borderId="0">
      <alignment vertical="center"/>
    </xf>
  </cellStyleXfs>
  <cellXfs count="1034">
    <xf numFmtId="0" fontId="0" fillId="0" borderId="0" xfId="0">
      <alignment vertical="center"/>
    </xf>
    <xf numFmtId="0" fontId="32" fillId="24" borderId="12" xfId="50" applyFont="1" applyFill="1" applyBorder="1" applyAlignment="1">
      <alignment horizontal="center" vertical="center" wrapText="1"/>
    </xf>
    <xf numFmtId="0" fontId="32" fillId="24" borderId="12" xfId="50" applyFont="1" applyFill="1" applyBorder="1" applyAlignment="1">
      <alignment vertical="center" wrapText="1"/>
    </xf>
    <xf numFmtId="0" fontId="32" fillId="24" borderId="12" xfId="50" applyNumberFormat="1" applyFont="1" applyFill="1" applyBorder="1" applyAlignment="1">
      <alignment vertical="center" wrapText="1"/>
    </xf>
    <xf numFmtId="0" fontId="32" fillId="24" borderId="12" xfId="50" applyNumberFormat="1" applyFont="1" applyFill="1" applyBorder="1" applyAlignment="1">
      <alignment horizontal="center" vertical="center" wrapText="1"/>
    </xf>
    <xf numFmtId="20" fontId="32" fillId="24" borderId="12" xfId="50" applyNumberFormat="1" applyFont="1" applyFill="1" applyBorder="1" applyAlignment="1">
      <alignment vertical="center" wrapText="1"/>
    </xf>
    <xf numFmtId="0" fontId="34" fillId="25" borderId="12" xfId="50" applyFont="1" applyFill="1" applyBorder="1" applyAlignment="1"/>
    <xf numFmtId="0" fontId="26" fillId="25" borderId="12" xfId="50" applyFont="1" applyFill="1" applyBorder="1" applyAlignment="1"/>
    <xf numFmtId="20" fontId="26" fillId="25" borderId="12" xfId="50" applyNumberFormat="1" applyFont="1" applyFill="1" applyBorder="1" applyAlignment="1"/>
    <xf numFmtId="0" fontId="34" fillId="26" borderId="12" xfId="50" applyFont="1" applyFill="1" applyBorder="1" applyAlignment="1">
      <alignment vertical="center" wrapText="1"/>
    </xf>
    <xf numFmtId="0" fontId="26" fillId="26" borderId="12" xfId="50" applyFont="1" applyFill="1" applyBorder="1" applyAlignment="1"/>
    <xf numFmtId="20" fontId="26" fillId="26" borderId="12" xfId="50" applyNumberFormat="1" applyFont="1" applyFill="1" applyBorder="1" applyAlignment="1" applyProtection="1">
      <protection locked="0"/>
    </xf>
    <xf numFmtId="0" fontId="33" fillId="0" borderId="12" xfId="50" applyFont="1" applyBorder="1" applyAlignment="1"/>
    <xf numFmtId="0" fontId="2" fillId="0" borderId="12" xfId="50" applyBorder="1" applyAlignment="1"/>
    <xf numFmtId="20" fontId="2" fillId="0" borderId="12" xfId="50" applyNumberFormat="1" applyBorder="1" applyAlignment="1"/>
    <xf numFmtId="0" fontId="33" fillId="27" borderId="12" xfId="50" applyFont="1" applyFill="1" applyBorder="1" applyAlignment="1">
      <alignment vertical="center" wrapText="1"/>
    </xf>
    <xf numFmtId="0" fontId="2" fillId="27" borderId="12" xfId="50" applyFill="1" applyBorder="1" applyAlignment="1"/>
    <xf numFmtId="20" fontId="2" fillId="27" borderId="12" xfId="50" applyNumberFormat="1" applyFill="1" applyBorder="1" applyAlignment="1"/>
    <xf numFmtId="0" fontId="15" fillId="0" borderId="12" xfId="50" applyFont="1" applyBorder="1" applyAlignment="1"/>
    <xf numFmtId="0" fontId="15" fillId="27" borderId="12" xfId="50" applyFont="1" applyFill="1" applyBorder="1" applyAlignment="1"/>
    <xf numFmtId="0" fontId="15" fillId="0" borderId="12" xfId="50" applyFont="1" applyFill="1" applyBorder="1" applyAlignment="1"/>
    <xf numFmtId="0" fontId="33" fillId="0" borderId="12" xfId="50" applyFont="1" applyBorder="1" applyAlignment="1">
      <alignment vertical="center" wrapText="1"/>
    </xf>
    <xf numFmtId="0" fontId="33" fillId="27" borderId="12" xfId="50" applyFont="1" applyFill="1" applyBorder="1" applyAlignment="1"/>
    <xf numFmtId="0" fontId="2" fillId="0" borderId="12" xfId="50" applyNumberFormat="1" applyBorder="1" applyAlignment="1"/>
    <xf numFmtId="0" fontId="2" fillId="27" borderId="12" xfId="50" applyNumberFormat="1" applyFill="1" applyBorder="1" applyAlignment="1"/>
    <xf numFmtId="0" fontId="2" fillId="0" borderId="0" xfId="50" applyAlignment="1">
      <alignment horizontal="center"/>
    </xf>
    <xf numFmtId="0" fontId="2" fillId="0" borderId="0" xfId="50"/>
    <xf numFmtId="20" fontId="2" fillId="0" borderId="0" xfId="50" applyNumberFormat="1"/>
    <xf numFmtId="0" fontId="2" fillId="0" borderId="0" xfId="50" applyNumberFormat="1"/>
    <xf numFmtId="0" fontId="2" fillId="0" borderId="13" xfId="50" applyBorder="1" applyProtection="1">
      <protection hidden="1"/>
    </xf>
    <xf numFmtId="0" fontId="2" fillId="24" borderId="14" xfId="50" applyFill="1" applyBorder="1" applyProtection="1">
      <protection hidden="1"/>
    </xf>
    <xf numFmtId="0" fontId="2" fillId="0" borderId="15" xfId="50" applyBorder="1" applyProtection="1">
      <protection hidden="1"/>
    </xf>
    <xf numFmtId="0" fontId="2" fillId="0" borderId="0" xfId="50" applyProtection="1">
      <protection hidden="1"/>
    </xf>
    <xf numFmtId="0" fontId="2" fillId="0" borderId="16" xfId="50" applyBorder="1" applyProtection="1">
      <protection hidden="1"/>
    </xf>
    <xf numFmtId="0" fontId="2" fillId="0" borderId="18" xfId="50" applyBorder="1" applyProtection="1">
      <protection hidden="1"/>
    </xf>
    <xf numFmtId="0" fontId="2" fillId="0" borderId="20" xfId="50" applyBorder="1" applyAlignment="1" applyProtection="1">
      <alignment horizontal="left" indent="1"/>
      <protection locked="0"/>
    </xf>
    <xf numFmtId="0" fontId="2" fillId="0" borderId="0" xfId="50" applyBorder="1" applyProtection="1">
      <protection hidden="1"/>
    </xf>
    <xf numFmtId="0" fontId="32" fillId="24" borderId="12" xfId="50" applyNumberFormat="1" applyFont="1" applyFill="1" applyBorder="1" applyAlignment="1">
      <alignment horizontal="right" vertical="center" wrapText="1"/>
    </xf>
    <xf numFmtId="0" fontId="32" fillId="24" borderId="12" xfId="50" applyFont="1" applyFill="1" applyBorder="1" applyAlignment="1" applyProtection="1">
      <alignment horizontal="right" vertical="center" wrapText="1"/>
      <protection hidden="1"/>
    </xf>
    <xf numFmtId="0" fontId="32" fillId="24" borderId="12" xfId="50" applyNumberFormat="1" applyFont="1" applyFill="1" applyBorder="1" applyAlignment="1" applyProtection="1">
      <alignment horizontal="right" vertical="center" wrapText="1"/>
      <protection hidden="1"/>
    </xf>
    <xf numFmtId="20" fontId="32" fillId="24" borderId="12" xfId="50" applyNumberFormat="1" applyFont="1" applyFill="1" applyBorder="1" applyAlignment="1" applyProtection="1">
      <alignment horizontal="right" vertical="center" wrapText="1"/>
      <protection hidden="1"/>
    </xf>
    <xf numFmtId="188" fontId="26" fillId="26" borderId="12" xfId="50" applyNumberFormat="1" applyFont="1" applyFill="1" applyBorder="1" applyAlignment="1" applyProtection="1">
      <protection locked="0"/>
    </xf>
    <xf numFmtId="181" fontId="28" fillId="0" borderId="0" xfId="38" applyNumberFormat="1" applyFont="1" applyAlignment="1" applyProtection="1">
      <alignment vertical="center"/>
      <protection hidden="1"/>
    </xf>
    <xf numFmtId="0" fontId="28" fillId="0" borderId="0" xfId="52" applyFont="1" applyAlignment="1" applyProtection="1">
      <alignment vertical="center"/>
      <protection hidden="1"/>
    </xf>
    <xf numFmtId="0" fontId="28" fillId="0" borderId="0" xfId="52" applyNumberFormat="1" applyFont="1" applyAlignment="1" applyProtection="1">
      <alignment vertical="center"/>
      <protection hidden="1"/>
    </xf>
    <xf numFmtId="0" fontId="28" fillId="0" borderId="0" xfId="38" applyNumberFormat="1" applyFont="1" applyAlignment="1" applyProtection="1">
      <alignment vertical="center"/>
      <protection hidden="1"/>
    </xf>
    <xf numFmtId="0" fontId="39" fillId="0" borderId="0" xfId="52" applyFont="1" applyAlignment="1" applyProtection="1">
      <alignment vertical="center"/>
      <protection hidden="1"/>
    </xf>
    <xf numFmtId="0" fontId="2" fillId="0" borderId="0" xfId="52" applyNumberFormat="1" applyFont="1" applyBorder="1" applyAlignment="1" applyProtection="1">
      <alignment horizontal="left" vertical="center" shrinkToFit="1"/>
      <protection hidden="1"/>
    </xf>
    <xf numFmtId="0" fontId="29" fillId="0" borderId="0" xfId="52" applyNumberFormat="1" applyFont="1" applyFill="1" applyBorder="1" applyAlignment="1" applyProtection="1">
      <alignment horizontal="center" vertical="center"/>
      <protection hidden="1"/>
    </xf>
    <xf numFmtId="0" fontId="26" fillId="0" borderId="0" xfId="52" applyFont="1" applyBorder="1" applyAlignment="1" applyProtection="1">
      <alignment horizontal="left" vertical="center"/>
      <protection hidden="1"/>
    </xf>
    <xf numFmtId="180" fontId="40" fillId="28" borderId="21" xfId="52" applyNumberFormat="1" applyFont="1" applyFill="1" applyBorder="1" applyAlignment="1" applyProtection="1">
      <alignment horizontal="right" vertical="center"/>
      <protection locked="0"/>
    </xf>
    <xf numFmtId="189" fontId="40" fillId="28" borderId="21" xfId="52" applyNumberFormat="1" applyFont="1" applyFill="1" applyBorder="1" applyAlignment="1" applyProtection="1">
      <alignment vertical="center" shrinkToFit="1"/>
      <protection hidden="1"/>
    </xf>
    <xf numFmtId="189" fontId="40" fillId="28" borderId="17" xfId="52" applyNumberFormat="1" applyFont="1" applyFill="1" applyBorder="1" applyAlignment="1" applyProtection="1">
      <alignment horizontal="left" vertical="center" shrinkToFit="1"/>
      <protection hidden="1"/>
    </xf>
    <xf numFmtId="182" fontId="30" fillId="28" borderId="22" xfId="52" applyNumberFormat="1" applyFont="1" applyFill="1" applyBorder="1" applyAlignment="1" applyProtection="1">
      <alignment horizontal="right" vertical="center"/>
      <protection hidden="1"/>
    </xf>
    <xf numFmtId="189" fontId="40" fillId="28" borderId="23" xfId="52" applyNumberFormat="1" applyFont="1" applyFill="1" applyBorder="1" applyAlignment="1" applyProtection="1">
      <alignment vertical="center" shrinkToFit="1"/>
      <protection hidden="1"/>
    </xf>
    <xf numFmtId="189" fontId="40" fillId="28" borderId="19" xfId="52" applyNumberFormat="1" applyFont="1" applyFill="1" applyBorder="1" applyAlignment="1" applyProtection="1">
      <alignment horizontal="left" vertical="center" shrinkToFit="1"/>
      <protection hidden="1"/>
    </xf>
    <xf numFmtId="180" fontId="40" fillId="28" borderId="24" xfId="52" applyNumberFormat="1" applyFont="1" applyFill="1" applyBorder="1" applyAlignment="1" applyProtection="1">
      <alignment horizontal="right" vertical="center" shrinkToFit="1"/>
      <protection hidden="1"/>
    </xf>
    <xf numFmtId="180" fontId="40" fillId="28" borderId="25" xfId="52" applyNumberFormat="1" applyFont="1" applyFill="1" applyBorder="1" applyAlignment="1" applyProtection="1">
      <alignment horizontal="right" vertical="center" shrinkToFit="1"/>
      <protection hidden="1"/>
    </xf>
    <xf numFmtId="20" fontId="28" fillId="0" borderId="0" xfId="52" applyNumberFormat="1" applyFont="1" applyBorder="1" applyAlignment="1" applyProtection="1">
      <alignment vertical="center"/>
      <protection hidden="1"/>
    </xf>
    <xf numFmtId="181" fontId="28" fillId="0" borderId="0" xfId="38" applyNumberFormat="1" applyFont="1" applyAlignment="1">
      <alignment vertical="center"/>
    </xf>
    <xf numFmtId="0" fontId="28" fillId="0" borderId="0" xfId="52" applyFont="1" applyAlignment="1">
      <alignment vertical="center"/>
    </xf>
    <xf numFmtId="0" fontId="26" fillId="0" borderId="0" xfId="38" applyNumberFormat="1" applyFont="1" applyAlignment="1" applyProtection="1">
      <alignment vertical="center"/>
      <protection hidden="1"/>
    </xf>
    <xf numFmtId="0" fontId="28" fillId="0" borderId="0" xfId="38" applyNumberFormat="1" applyFont="1" applyAlignment="1">
      <alignment vertical="center"/>
    </xf>
    <xf numFmtId="0" fontId="28" fillId="0" borderId="0" xfId="38" applyNumberFormat="1" applyFont="1" applyAlignment="1">
      <alignment vertical="center" wrapText="1"/>
    </xf>
    <xf numFmtId="0" fontId="28" fillId="0" borderId="21" xfId="52" applyFont="1" applyBorder="1" applyAlignment="1">
      <alignment vertical="center"/>
    </xf>
    <xf numFmtId="0" fontId="41" fillId="0" borderId="0" xfId="38" applyNumberFormat="1" applyFont="1" applyAlignment="1" applyProtection="1">
      <alignment vertical="center" shrinkToFit="1"/>
      <protection hidden="1"/>
    </xf>
    <xf numFmtId="0" fontId="28" fillId="0" borderId="23" xfId="52" applyFont="1" applyBorder="1" applyAlignment="1">
      <alignment vertical="center"/>
    </xf>
    <xf numFmtId="180" fontId="40" fillId="28" borderId="26" xfId="52" applyNumberFormat="1" applyFont="1" applyFill="1" applyBorder="1" applyAlignment="1" applyProtection="1">
      <alignment horizontal="right" vertical="center"/>
      <protection locked="0"/>
    </xf>
    <xf numFmtId="180" fontId="40" fillId="28" borderId="27" xfId="52" applyNumberFormat="1" applyFont="1" applyFill="1" applyBorder="1" applyAlignment="1" applyProtection="1">
      <alignment horizontal="right" vertical="center"/>
      <protection hidden="1"/>
    </xf>
    <xf numFmtId="180" fontId="40" fillId="28" borderId="17" xfId="52" applyNumberFormat="1" applyFont="1" applyFill="1" applyBorder="1" applyAlignment="1" applyProtection="1">
      <alignment horizontal="right" vertical="center"/>
      <protection locked="0"/>
    </xf>
    <xf numFmtId="0" fontId="32" fillId="0" borderId="29" xfId="48" applyNumberFormat="1" applyFont="1" applyBorder="1" applyAlignment="1">
      <alignment horizontal="center" vertical="center" wrapText="1"/>
    </xf>
    <xf numFmtId="0" fontId="32" fillId="0" borderId="1" xfId="48" applyNumberFormat="1" applyFont="1" applyBorder="1" applyAlignment="1">
      <alignment horizontal="center" vertical="center" wrapText="1"/>
    </xf>
    <xf numFmtId="0" fontId="32" fillId="0" borderId="30" xfId="48" applyFont="1" applyBorder="1" applyAlignment="1">
      <alignment horizontal="center" wrapText="1"/>
    </xf>
    <xf numFmtId="0" fontId="32" fillId="0" borderId="0" xfId="48" applyFont="1" applyAlignment="1">
      <alignment horizontal="center" wrapText="1"/>
    </xf>
    <xf numFmtId="0" fontId="2" fillId="0" borderId="0" xfId="48">
      <alignment vertical="center"/>
    </xf>
    <xf numFmtId="0" fontId="32" fillId="0" borderId="0" xfId="48" applyFont="1" applyAlignment="1">
      <alignment horizontal="center"/>
    </xf>
    <xf numFmtId="20" fontId="32" fillId="0" borderId="0" xfId="48" applyNumberFormat="1" applyFont="1" applyBorder="1">
      <alignment vertical="center"/>
    </xf>
    <xf numFmtId="0" fontId="32" fillId="0" borderId="0" xfId="48" applyFont="1" applyBorder="1">
      <alignment vertical="center"/>
    </xf>
    <xf numFmtId="20" fontId="32" fillId="0" borderId="31" xfId="48" applyNumberFormat="1" applyFont="1" applyBorder="1">
      <alignment vertical="center"/>
    </xf>
    <xf numFmtId="20" fontId="32" fillId="0" borderId="0" xfId="48" applyNumberFormat="1" applyFont="1">
      <alignment vertical="center"/>
    </xf>
    <xf numFmtId="0" fontId="32" fillId="0" borderId="0" xfId="48" applyFont="1">
      <alignment vertical="center"/>
    </xf>
    <xf numFmtId="178" fontId="32" fillId="0" borderId="32" xfId="48" applyNumberFormat="1" applyFont="1" applyBorder="1">
      <alignment vertical="center"/>
    </xf>
    <xf numFmtId="178" fontId="32" fillId="0" borderId="33" xfId="48" applyNumberFormat="1" applyFont="1" applyBorder="1">
      <alignment vertical="center"/>
    </xf>
    <xf numFmtId="0" fontId="32" fillId="0" borderId="33" xfId="48" applyFont="1" applyBorder="1">
      <alignment vertical="center"/>
    </xf>
    <xf numFmtId="178" fontId="32" fillId="0" borderId="34" xfId="48" applyNumberFormat="1" applyFont="1" applyBorder="1">
      <alignment vertical="center"/>
    </xf>
    <xf numFmtId="178" fontId="32" fillId="0" borderId="0" xfId="48" applyNumberFormat="1" applyFont="1">
      <alignment vertical="center"/>
    </xf>
    <xf numFmtId="38" fontId="32" fillId="0" borderId="35" xfId="38" applyNumberFormat="1" applyFont="1" applyFill="1" applyBorder="1">
      <alignment vertical="center"/>
    </xf>
    <xf numFmtId="38" fontId="32" fillId="0" borderId="36" xfId="38" applyNumberFormat="1" applyFont="1" applyBorder="1">
      <alignment vertical="center"/>
    </xf>
    <xf numFmtId="38" fontId="32" fillId="0" borderId="37" xfId="38" applyNumberFormat="1" applyFont="1" applyBorder="1">
      <alignment vertical="center"/>
    </xf>
    <xf numFmtId="180" fontId="32" fillId="0" borderId="0" xfId="48" applyNumberFormat="1" applyFont="1">
      <alignment vertical="center"/>
    </xf>
    <xf numFmtId="177" fontId="32" fillId="0" borderId="0" xfId="48" applyNumberFormat="1" applyFont="1">
      <alignment vertical="center"/>
    </xf>
    <xf numFmtId="0" fontId="32" fillId="0" borderId="0" xfId="48" applyFont="1" applyFill="1">
      <alignment vertical="center"/>
    </xf>
    <xf numFmtId="0" fontId="32" fillId="0" borderId="38" xfId="48" applyFont="1" applyBorder="1">
      <alignment vertical="center"/>
    </xf>
    <xf numFmtId="0" fontId="32" fillId="0" borderId="39" xfId="48" applyFont="1" applyBorder="1">
      <alignment vertical="center"/>
    </xf>
    <xf numFmtId="0" fontId="32" fillId="0" borderId="39" xfId="48" applyFont="1" applyFill="1" applyBorder="1">
      <alignment vertical="center"/>
    </xf>
    <xf numFmtId="0" fontId="32" fillId="0" borderId="40" xfId="48" applyFont="1" applyBorder="1" applyAlignment="1">
      <alignment horizontal="centerContinuous"/>
    </xf>
    <xf numFmtId="0" fontId="32" fillId="0" borderId="41" xfId="48" applyFont="1" applyBorder="1" applyAlignment="1">
      <alignment horizontal="centerContinuous"/>
    </xf>
    <xf numFmtId="0" fontId="32" fillId="0" borderId="42" xfId="48" applyFont="1" applyBorder="1" applyAlignment="1">
      <alignment horizontal="centerContinuous"/>
    </xf>
    <xf numFmtId="0" fontId="32" fillId="0" borderId="40" xfId="48" applyFont="1" applyBorder="1" applyAlignment="1">
      <alignment horizontal="centerContinuous" wrapText="1"/>
    </xf>
    <xf numFmtId="0" fontId="32" fillId="0" borderId="43" xfId="48" applyFont="1" applyBorder="1" applyAlignment="1">
      <alignment horizontal="centerContinuous"/>
    </xf>
    <xf numFmtId="0" fontId="32" fillId="0" borderId="44" xfId="48" applyFont="1" applyBorder="1" applyAlignment="1">
      <alignment horizontal="center"/>
    </xf>
    <xf numFmtId="0" fontId="32" fillId="0" borderId="45" xfId="48" applyFont="1" applyBorder="1" applyAlignment="1">
      <alignment horizontal="center" wrapText="1"/>
    </xf>
    <xf numFmtId="0" fontId="32" fillId="0" borderId="46" xfId="48" applyFont="1" applyBorder="1" applyAlignment="1">
      <alignment horizontal="center" wrapText="1"/>
    </xf>
    <xf numFmtId="0" fontId="42" fillId="26" borderId="46" xfId="48" applyFont="1" applyFill="1" applyBorder="1" applyAlignment="1">
      <alignment horizontal="center" wrapText="1"/>
    </xf>
    <xf numFmtId="0" fontId="32" fillId="0" borderId="46" xfId="48" applyFont="1" applyBorder="1" applyAlignment="1">
      <alignment horizontal="center"/>
    </xf>
    <xf numFmtId="0" fontId="42" fillId="29" borderId="46" xfId="48" applyFont="1" applyFill="1" applyBorder="1" applyAlignment="1">
      <alignment horizontal="center" wrapText="1"/>
    </xf>
    <xf numFmtId="0" fontId="43" fillId="25" borderId="46" xfId="48" applyFont="1" applyFill="1" applyBorder="1" applyAlignment="1">
      <alignment horizontal="center" wrapText="1"/>
    </xf>
    <xf numFmtId="0" fontId="32" fillId="0" borderId="47" xfId="48" applyFont="1" applyBorder="1" applyAlignment="1">
      <alignment horizontal="center" wrapText="1"/>
    </xf>
    <xf numFmtId="0" fontId="32" fillId="0" borderId="48" xfId="48" applyFont="1" applyBorder="1" applyAlignment="1">
      <alignment horizontal="center" wrapText="1"/>
    </xf>
    <xf numFmtId="0" fontId="32" fillId="0" borderId="49" xfId="48" applyFont="1" applyBorder="1" applyAlignment="1">
      <alignment horizontal="center" wrapText="1"/>
    </xf>
    <xf numFmtId="190" fontId="32" fillId="28" borderId="50" xfId="52" applyNumberFormat="1" applyFont="1" applyFill="1" applyBorder="1" applyAlignment="1" applyProtection="1">
      <alignment horizontal="right" vertical="center"/>
      <protection hidden="1"/>
    </xf>
    <xf numFmtId="178" fontId="32" fillId="0" borderId="0" xfId="48" applyNumberFormat="1" applyFont="1" applyBorder="1">
      <alignment vertical="center"/>
    </xf>
    <xf numFmtId="0" fontId="32" fillId="26" borderId="0" xfId="48" applyFont="1" applyFill="1" applyBorder="1">
      <alignment vertical="center"/>
    </xf>
    <xf numFmtId="178" fontId="32" fillId="26" borderId="0" xfId="48" applyNumberFormat="1" applyFont="1" applyFill="1" applyBorder="1">
      <alignment vertical="center"/>
    </xf>
    <xf numFmtId="0" fontId="32" fillId="29" borderId="0" xfId="48" applyFont="1" applyFill="1" applyBorder="1">
      <alignment vertical="center"/>
    </xf>
    <xf numFmtId="178" fontId="32" fillId="25" borderId="0" xfId="48" applyNumberFormat="1" applyFont="1" applyFill="1" applyBorder="1">
      <alignment vertical="center"/>
    </xf>
    <xf numFmtId="178" fontId="32" fillId="0" borderId="51" xfId="48" applyNumberFormat="1" applyFont="1" applyBorder="1">
      <alignment vertical="center"/>
    </xf>
    <xf numFmtId="187" fontId="32" fillId="0" borderId="31" xfId="48" applyNumberFormat="1" applyFont="1" applyBorder="1">
      <alignment vertical="center"/>
    </xf>
    <xf numFmtId="176" fontId="32" fillId="0" borderId="51" xfId="48" applyNumberFormat="1" applyFont="1" applyBorder="1">
      <alignment vertical="center"/>
    </xf>
    <xf numFmtId="180" fontId="32" fillId="0" borderId="31" xfId="48" applyNumberFormat="1" applyFont="1" applyBorder="1">
      <alignment vertical="center"/>
    </xf>
    <xf numFmtId="177" fontId="32" fillId="0" borderId="51" xfId="48" applyNumberFormat="1" applyFont="1" applyBorder="1">
      <alignment vertical="center"/>
    </xf>
    <xf numFmtId="177" fontId="32" fillId="0" borderId="0" xfId="48" applyNumberFormat="1" applyFont="1" applyBorder="1" applyAlignment="1">
      <alignment horizontal="center" vertical="center"/>
    </xf>
    <xf numFmtId="177" fontId="32" fillId="0" borderId="0" xfId="48" applyNumberFormat="1" applyFont="1" applyBorder="1" applyAlignment="1">
      <alignment horizontal="right" vertical="center"/>
    </xf>
    <xf numFmtId="0" fontId="32" fillId="0" borderId="52" xfId="0" applyFont="1" applyBorder="1">
      <alignment vertical="center"/>
    </xf>
    <xf numFmtId="180" fontId="2" fillId="0" borderId="0" xfId="48" applyNumberFormat="1">
      <alignment vertical="center"/>
    </xf>
    <xf numFmtId="0" fontId="32" fillId="0" borderId="53" xfId="0" applyFont="1" applyBorder="1">
      <alignment vertical="center"/>
    </xf>
    <xf numFmtId="0" fontId="28" fillId="0" borderId="0" xfId="0" applyFont="1" applyAlignment="1" applyProtection="1">
      <alignment vertical="center"/>
      <protection hidden="1"/>
    </xf>
    <xf numFmtId="181" fontId="28" fillId="0" borderId="0" xfId="38" applyNumberFormat="1" applyFont="1" applyBorder="1" applyAlignment="1">
      <alignment vertical="center"/>
    </xf>
    <xf numFmtId="0" fontId="28" fillId="0" borderId="54" xfId="38" applyNumberFormat="1" applyFont="1" applyBorder="1" applyAlignment="1">
      <alignment horizontal="center" vertical="center"/>
    </xf>
    <xf numFmtId="0" fontId="45" fillId="0" borderId="0" xfId="50" applyFont="1" applyProtection="1">
      <protection hidden="1"/>
    </xf>
    <xf numFmtId="196" fontId="31" fillId="0" borderId="0" xfId="52" applyNumberFormat="1" applyFont="1" applyBorder="1" applyAlignment="1" applyProtection="1">
      <alignment vertical="top"/>
      <protection hidden="1"/>
    </xf>
    <xf numFmtId="180" fontId="32" fillId="28" borderId="55" xfId="52" applyNumberFormat="1" applyFont="1" applyFill="1" applyBorder="1" applyAlignment="1" applyProtection="1">
      <alignment horizontal="right" vertical="center" shrinkToFit="1"/>
      <protection hidden="1"/>
    </xf>
    <xf numFmtId="0" fontId="0" fillId="0" borderId="0" xfId="0" applyProtection="1">
      <alignment vertical="center"/>
      <protection hidden="1"/>
    </xf>
    <xf numFmtId="0" fontId="2" fillId="24" borderId="12" xfId="50" applyFont="1" applyFill="1" applyBorder="1" applyAlignment="1" applyProtection="1">
      <alignment horizontal="right"/>
      <protection hidden="1"/>
    </xf>
    <xf numFmtId="20" fontId="32" fillId="25" borderId="54" xfId="48" applyNumberFormat="1" applyFont="1" applyFill="1" applyBorder="1">
      <alignment vertical="center"/>
    </xf>
    <xf numFmtId="20" fontId="32" fillId="25" borderId="56" xfId="48" applyNumberFormat="1" applyFont="1" applyFill="1" applyBorder="1">
      <alignment vertical="center"/>
    </xf>
    <xf numFmtId="20" fontId="32" fillId="25" borderId="57" xfId="48" applyNumberFormat="1" applyFont="1" applyFill="1" applyBorder="1">
      <alignment vertical="center"/>
    </xf>
    <xf numFmtId="0" fontId="32" fillId="24" borderId="58" xfId="48" applyFont="1" applyFill="1" applyBorder="1" applyAlignment="1">
      <alignment horizontal="center" wrapText="1"/>
    </xf>
    <xf numFmtId="0" fontId="32" fillId="24" borderId="59" xfId="48" applyFont="1" applyFill="1" applyBorder="1" applyAlignment="1">
      <alignment horizontal="center" wrapText="1"/>
    </xf>
    <xf numFmtId="0" fontId="32" fillId="24" borderId="60" xfId="48" applyFont="1" applyFill="1" applyBorder="1" applyAlignment="1">
      <alignment horizontal="center" wrapText="1"/>
    </xf>
    <xf numFmtId="0" fontId="26" fillId="0" borderId="0" xfId="50" applyFont="1" applyProtection="1">
      <protection hidden="1"/>
    </xf>
    <xf numFmtId="0" fontId="2" fillId="0" borderId="0" xfId="50" applyProtection="1"/>
    <xf numFmtId="0" fontId="11" fillId="0" borderId="0" xfId="32" applyAlignment="1" applyProtection="1">
      <protection hidden="1"/>
    </xf>
    <xf numFmtId="0" fontId="28" fillId="24" borderId="61" xfId="52" applyFont="1" applyFill="1" applyBorder="1" applyAlignment="1" applyProtection="1">
      <alignment horizontal="center" vertical="center" wrapText="1"/>
      <protection hidden="1"/>
    </xf>
    <xf numFmtId="0" fontId="28" fillId="24" borderId="25" xfId="52" applyFont="1" applyFill="1" applyBorder="1" applyAlignment="1">
      <alignment vertical="center"/>
    </xf>
    <xf numFmtId="0" fontId="2" fillId="24" borderId="55" xfId="52" applyFont="1" applyFill="1" applyBorder="1" applyAlignment="1" applyProtection="1">
      <alignment horizontal="right" vertical="center"/>
      <protection hidden="1"/>
    </xf>
    <xf numFmtId="177" fontId="40" fillId="28" borderId="34" xfId="52" applyNumberFormat="1" applyFont="1" applyFill="1" applyBorder="1" applyAlignment="1" applyProtection="1">
      <alignment vertical="center"/>
      <protection hidden="1"/>
    </xf>
    <xf numFmtId="182" fontId="30" fillId="28" borderId="63" xfId="52" applyNumberFormat="1" applyFont="1" applyFill="1" applyBorder="1" applyAlignment="1" applyProtection="1">
      <alignment horizontal="right" vertical="center"/>
      <protection hidden="1"/>
    </xf>
    <xf numFmtId="0" fontId="2" fillId="0" borderId="0" xfId="51" applyProtection="1">
      <protection hidden="1"/>
    </xf>
    <xf numFmtId="0" fontId="2" fillId="0" borderId="0" xfId="51" applyFont="1" applyProtection="1">
      <protection hidden="1"/>
    </xf>
    <xf numFmtId="0" fontId="2" fillId="0" borderId="0" xfId="51" applyFill="1" applyProtection="1">
      <protection hidden="1"/>
    </xf>
    <xf numFmtId="0" fontId="28" fillId="0" borderId="0" xfId="51" applyFont="1" applyAlignment="1" applyProtection="1">
      <alignment vertical="center"/>
      <protection hidden="1"/>
    </xf>
    <xf numFmtId="0" fontId="28" fillId="0" borderId="0" xfId="51" applyFont="1" applyAlignment="1">
      <alignment vertical="center"/>
    </xf>
    <xf numFmtId="0" fontId="29" fillId="0" borderId="64" xfId="51" applyNumberFormat="1" applyFont="1" applyBorder="1" applyAlignment="1" applyProtection="1">
      <alignment vertical="center" shrinkToFit="1"/>
      <protection hidden="1"/>
    </xf>
    <xf numFmtId="0" fontId="2" fillId="0" borderId="0" xfId="51" applyNumberFormat="1" applyFont="1" applyBorder="1" applyAlignment="1" applyProtection="1">
      <alignment horizontal="left" vertical="center" shrinkToFit="1"/>
      <protection hidden="1"/>
    </xf>
    <xf numFmtId="0" fontId="29" fillId="0" borderId="0" xfId="51" applyNumberFormat="1" applyFont="1" applyFill="1" applyBorder="1" applyAlignment="1" applyProtection="1">
      <alignment horizontal="center" vertical="center"/>
      <protection hidden="1"/>
    </xf>
    <xf numFmtId="189" fontId="40" fillId="28" borderId="65" xfId="51" applyNumberFormat="1" applyFont="1" applyFill="1" applyBorder="1" applyAlignment="1" applyProtection="1">
      <alignment vertical="center" shrinkToFit="1"/>
      <protection hidden="1"/>
    </xf>
    <xf numFmtId="189" fontId="40" fillId="28" borderId="23" xfId="51" applyNumberFormat="1" applyFont="1" applyFill="1" applyBorder="1" applyAlignment="1" applyProtection="1">
      <alignment vertical="center" shrinkToFit="1"/>
      <protection hidden="1"/>
    </xf>
    <xf numFmtId="0" fontId="2" fillId="0" borderId="0" xfId="51" applyFont="1" applyFill="1" applyProtection="1">
      <protection hidden="1"/>
    </xf>
    <xf numFmtId="0" fontId="51" fillId="0" borderId="0" xfId="51" applyFont="1" applyFill="1" applyAlignment="1" applyProtection="1">
      <alignment horizontal="right"/>
      <protection hidden="1"/>
    </xf>
    <xf numFmtId="181" fontId="2" fillId="0" borderId="0" xfId="51" applyNumberFormat="1" applyFont="1" applyFill="1" applyProtection="1">
      <protection hidden="1"/>
    </xf>
    <xf numFmtId="0" fontId="2" fillId="0" borderId="0" xfId="51" applyFont="1"/>
    <xf numFmtId="0" fontId="2" fillId="30" borderId="0" xfId="51" applyFont="1" applyFill="1" applyProtection="1">
      <protection hidden="1"/>
    </xf>
    <xf numFmtId="0" fontId="52" fillId="0" borderId="0" xfId="51" applyFont="1" applyFill="1" applyBorder="1" applyAlignment="1" applyProtection="1">
      <alignment horizontal="centerContinuous"/>
      <protection hidden="1"/>
    </xf>
    <xf numFmtId="0" fontId="51" fillId="0" borderId="0" xfId="51" applyFont="1" applyFill="1" applyBorder="1" applyAlignment="1" applyProtection="1">
      <alignment horizontal="centerContinuous"/>
      <protection hidden="1"/>
    </xf>
    <xf numFmtId="0" fontId="2" fillId="0" borderId="0" xfId="51" applyFont="1" applyFill="1" applyBorder="1" applyAlignment="1" applyProtection="1">
      <alignment horizontal="centerContinuous"/>
      <protection hidden="1"/>
    </xf>
    <xf numFmtId="0" fontId="2" fillId="0" borderId="0" xfId="51" applyFont="1" applyFill="1" applyBorder="1" applyAlignment="1" applyProtection="1">
      <alignment horizontal="left"/>
      <protection hidden="1"/>
    </xf>
    <xf numFmtId="0" fontId="46" fillId="24" borderId="66" xfId="51" applyFont="1" applyFill="1" applyBorder="1" applyAlignment="1" applyProtection="1">
      <alignment vertical="center"/>
      <protection hidden="1"/>
    </xf>
    <xf numFmtId="0" fontId="46" fillId="24" borderId="67" xfId="51" applyFont="1" applyFill="1" applyBorder="1" applyAlignment="1" applyProtection="1">
      <alignment vertical="center"/>
      <protection hidden="1"/>
    </xf>
    <xf numFmtId="0" fontId="46" fillId="24" borderId="68" xfId="51" applyFont="1" applyFill="1" applyBorder="1" applyAlignment="1" applyProtection="1">
      <alignment vertical="center"/>
      <protection hidden="1"/>
    </xf>
    <xf numFmtId="0" fontId="46" fillId="24" borderId="69" xfId="51" applyFont="1" applyFill="1" applyBorder="1" applyAlignment="1" applyProtection="1">
      <alignment vertical="center"/>
      <protection hidden="1"/>
    </xf>
    <xf numFmtId="0" fontId="2" fillId="0" borderId="0" xfId="51" applyFont="1" applyBorder="1" applyProtection="1">
      <protection hidden="1"/>
    </xf>
    <xf numFmtId="0" fontId="2" fillId="0" borderId="0" xfId="51" applyFont="1" applyAlignment="1" applyProtection="1">
      <alignment horizontal="centerContinuous"/>
      <protection hidden="1"/>
    </xf>
    <xf numFmtId="181" fontId="2" fillId="0" borderId="0" xfId="51" applyNumberFormat="1" applyFont="1" applyAlignment="1" applyProtection="1">
      <alignment horizontal="center"/>
      <protection hidden="1"/>
    </xf>
    <xf numFmtId="181" fontId="2" fillId="0" borderId="0" xfId="51" applyNumberFormat="1" applyFont="1" applyAlignment="1" applyProtection="1">
      <alignment horizontal="center"/>
      <protection locked="0" hidden="1"/>
    </xf>
    <xf numFmtId="181" fontId="2" fillId="0" borderId="0" xfId="51" applyNumberFormat="1" applyFont="1" applyFill="1" applyAlignment="1" applyProtection="1">
      <alignment horizontal="right"/>
      <protection locked="0" hidden="1"/>
    </xf>
    <xf numFmtId="181" fontId="2" fillId="0" borderId="0" xfId="51" applyNumberFormat="1" applyFont="1" applyProtection="1">
      <protection hidden="1"/>
    </xf>
    <xf numFmtId="181" fontId="2" fillId="0" borderId="0" xfId="51" applyNumberFormat="1" applyFont="1" applyAlignment="1" applyProtection="1">
      <alignment horizontal="right"/>
      <protection locked="0" hidden="1"/>
    </xf>
    <xf numFmtId="181" fontId="28" fillId="0" borderId="0" xfId="38" applyNumberFormat="1" applyFont="1" applyBorder="1" applyAlignment="1" applyProtection="1">
      <alignment vertical="center"/>
      <protection hidden="1"/>
    </xf>
    <xf numFmtId="181" fontId="39" fillId="0" borderId="0" xfId="38" applyNumberFormat="1" applyFont="1" applyAlignment="1" applyProtection="1">
      <alignment vertical="center"/>
      <protection hidden="1"/>
    </xf>
    <xf numFmtId="183" fontId="57" fillId="0" borderId="0" xfId="51" applyNumberFormat="1" applyFont="1" applyBorder="1" applyAlignment="1" applyProtection="1">
      <alignment vertical="center"/>
      <protection hidden="1"/>
    </xf>
    <xf numFmtId="0" fontId="39" fillId="0" borderId="0" xfId="51" applyFont="1" applyAlignment="1" applyProtection="1">
      <alignment vertical="center"/>
      <protection hidden="1"/>
    </xf>
    <xf numFmtId="183" fontId="58" fillId="0" borderId="0" xfId="51" applyNumberFormat="1" applyFont="1" applyAlignment="1" applyProtection="1">
      <alignment horizontal="centerContinuous" vertical="center"/>
      <protection hidden="1"/>
    </xf>
    <xf numFmtId="49" fontId="39" fillId="0" borderId="0" xfId="51" applyNumberFormat="1" applyFont="1" applyAlignment="1" applyProtection="1">
      <alignment vertical="center"/>
      <protection hidden="1"/>
    </xf>
    <xf numFmtId="181" fontId="39" fillId="0" borderId="0" xfId="38" applyNumberFormat="1" applyFont="1" applyBorder="1" applyAlignment="1" applyProtection="1">
      <alignment vertical="center"/>
      <protection hidden="1"/>
    </xf>
    <xf numFmtId="183" fontId="59" fillId="0" borderId="0" xfId="51" applyNumberFormat="1" applyFont="1" applyAlignment="1" applyProtection="1">
      <alignment horizontal="centerContinuous" vertical="center"/>
      <protection hidden="1"/>
    </xf>
    <xf numFmtId="183" fontId="59" fillId="0" borderId="0" xfId="51" applyNumberFormat="1" applyFont="1" applyBorder="1" applyAlignment="1" applyProtection="1">
      <alignment horizontal="centerContinuous" vertical="center"/>
      <protection hidden="1"/>
    </xf>
    <xf numFmtId="0" fontId="60" fillId="0" borderId="0" xfId="51" applyFont="1" applyBorder="1" applyAlignment="1" applyProtection="1">
      <alignment horizontal="left" vertical="center"/>
      <protection hidden="1"/>
    </xf>
    <xf numFmtId="14" fontId="61" fillId="0" borderId="0" xfId="51" applyNumberFormat="1" applyFont="1" applyBorder="1" applyAlignment="1" applyProtection="1">
      <alignment horizontal="left" vertical="center"/>
      <protection hidden="1"/>
    </xf>
    <xf numFmtId="0" fontId="26" fillId="0" borderId="0" xfId="51" applyFont="1" applyBorder="1" applyAlignment="1" applyProtection="1">
      <alignment horizontal="left" vertical="center"/>
      <protection hidden="1"/>
    </xf>
    <xf numFmtId="0" fontId="28" fillId="0" borderId="0" xfId="51" applyFont="1" applyAlignment="1" applyProtection="1">
      <alignment vertical="center" wrapText="1"/>
      <protection hidden="1"/>
    </xf>
    <xf numFmtId="189" fontId="40" fillId="28" borderId="65" xfId="51" applyNumberFormat="1" applyFont="1" applyFill="1" applyBorder="1" applyAlignment="1" applyProtection="1">
      <alignment vertical="center"/>
      <protection locked="0"/>
    </xf>
    <xf numFmtId="185" fontId="62" fillId="28" borderId="65" xfId="51" applyNumberFormat="1" applyFont="1" applyFill="1" applyBorder="1" applyAlignment="1" applyProtection="1">
      <alignment vertical="center"/>
      <protection hidden="1"/>
    </xf>
    <xf numFmtId="185" fontId="62" fillId="28" borderId="23" xfId="51" applyNumberFormat="1" applyFont="1" applyFill="1" applyBorder="1" applyAlignment="1" applyProtection="1">
      <alignment vertical="center"/>
      <protection hidden="1"/>
    </xf>
    <xf numFmtId="20" fontId="28" fillId="0" borderId="0" xfId="51" applyNumberFormat="1" applyFont="1" applyBorder="1" applyAlignment="1" applyProtection="1">
      <alignment vertical="center"/>
      <protection hidden="1"/>
    </xf>
    <xf numFmtId="0" fontId="28" fillId="0" borderId="0" xfId="51" applyFont="1" applyBorder="1" applyAlignment="1" applyProtection="1">
      <alignment horizontal="centerContinuous" vertical="center"/>
      <protection hidden="1"/>
    </xf>
    <xf numFmtId="0" fontId="28" fillId="0" borderId="0" xfId="51" applyFont="1" applyBorder="1" applyAlignment="1" applyProtection="1">
      <alignment horizontal="distributed" vertical="center"/>
      <protection hidden="1"/>
    </xf>
    <xf numFmtId="176" fontId="28" fillId="0" borderId="0" xfId="51" applyNumberFormat="1" applyFont="1" applyBorder="1" applyAlignment="1" applyProtection="1">
      <alignment vertical="center"/>
      <protection hidden="1"/>
    </xf>
    <xf numFmtId="0" fontId="28" fillId="0" borderId="0" xfId="51" applyFont="1" applyBorder="1" applyAlignment="1" applyProtection="1">
      <alignment vertical="center"/>
      <protection hidden="1"/>
    </xf>
    <xf numFmtId="49" fontId="2" fillId="28" borderId="70" xfId="51" applyNumberFormat="1" applyFont="1" applyFill="1" applyBorder="1" applyAlignment="1" applyProtection="1">
      <alignment vertical="top" wrapText="1"/>
      <protection locked="0"/>
    </xf>
    <xf numFmtId="49" fontId="2" fillId="28" borderId="71" xfId="51" applyNumberFormat="1" applyFont="1" applyFill="1" applyBorder="1" applyAlignment="1" applyProtection="1">
      <alignment vertical="top" wrapText="1"/>
      <protection locked="0"/>
    </xf>
    <xf numFmtId="49" fontId="2" fillId="28" borderId="72" xfId="51" applyNumberFormat="1" applyFont="1" applyFill="1" applyBorder="1" applyAlignment="1" applyProtection="1">
      <alignment vertical="top" wrapText="1"/>
      <protection locked="0"/>
    </xf>
    <xf numFmtId="49" fontId="2" fillId="28" borderId="73" xfId="51" applyNumberFormat="1" applyFont="1" applyFill="1" applyBorder="1" applyAlignment="1" applyProtection="1">
      <alignment vertical="top" wrapText="1"/>
      <protection locked="0"/>
    </xf>
    <xf numFmtId="0" fontId="31" fillId="0" borderId="0" xfId="51" applyFont="1" applyAlignment="1" applyProtection="1">
      <alignment horizontal="right" vertical="top"/>
      <protection hidden="1"/>
    </xf>
    <xf numFmtId="181" fontId="63" fillId="0" borderId="0" xfId="38" applyNumberFormat="1" applyFont="1" applyAlignment="1">
      <alignment vertical="center"/>
    </xf>
    <xf numFmtId="0" fontId="63" fillId="0" borderId="0" xfId="51" applyFont="1" applyAlignment="1">
      <alignment vertical="center"/>
    </xf>
    <xf numFmtId="181" fontId="63" fillId="0" borderId="0" xfId="38" applyNumberFormat="1" applyFont="1" applyBorder="1" applyAlignment="1">
      <alignment vertical="center"/>
    </xf>
    <xf numFmtId="0" fontId="63" fillId="0" borderId="0" xfId="51" applyFont="1" applyAlignment="1" applyProtection="1">
      <alignment vertical="center"/>
      <protection hidden="1"/>
    </xf>
    <xf numFmtId="191" fontId="2" fillId="0" borderId="0" xfId="51" applyNumberFormat="1" applyAlignment="1" applyProtection="1">
      <alignment vertical="center"/>
      <protection hidden="1"/>
    </xf>
    <xf numFmtId="0" fontId="2" fillId="0" borderId="0" xfId="51" applyAlignment="1" applyProtection="1">
      <alignment horizontal="left" vertical="center"/>
      <protection hidden="1"/>
    </xf>
    <xf numFmtId="0" fontId="2" fillId="0" borderId="0" xfId="51" applyAlignment="1" applyProtection="1">
      <alignment vertical="center"/>
      <protection hidden="1"/>
    </xf>
    <xf numFmtId="192" fontId="64" fillId="0" borderId="0" xfId="51" applyNumberFormat="1" applyFont="1" applyAlignment="1" applyProtection="1">
      <alignment horizontal="left" vertical="center"/>
      <protection hidden="1"/>
    </xf>
    <xf numFmtId="183" fontId="65" fillId="0" borderId="0" xfId="51" applyNumberFormat="1" applyFont="1" applyBorder="1" applyAlignment="1" applyProtection="1">
      <alignment vertical="center"/>
      <protection hidden="1"/>
    </xf>
    <xf numFmtId="0" fontId="56" fillId="0" borderId="0" xfId="51" applyFont="1" applyBorder="1" applyAlignment="1" applyProtection="1">
      <alignment horizontal="center" vertical="center"/>
      <protection hidden="1"/>
    </xf>
    <xf numFmtId="0" fontId="2" fillId="0" borderId="0" xfId="51" applyAlignment="1" applyProtection="1">
      <alignment horizontal="center" vertical="center"/>
      <protection hidden="1"/>
    </xf>
    <xf numFmtId="58" fontId="66" fillId="0" borderId="0" xfId="51" applyNumberFormat="1" applyFont="1" applyBorder="1" applyAlignment="1" applyProtection="1">
      <alignment horizontal="left" vertical="center"/>
      <protection hidden="1"/>
    </xf>
    <xf numFmtId="58" fontId="26" fillId="0" borderId="0" xfId="51" applyNumberFormat="1" applyFont="1" applyAlignment="1" applyProtection="1">
      <alignment horizontal="left" vertical="center"/>
      <protection hidden="1"/>
    </xf>
    <xf numFmtId="0" fontId="27" fillId="0" borderId="0" xfId="51" applyFont="1" applyAlignment="1" applyProtection="1">
      <alignment horizontal="center" vertical="center"/>
      <protection hidden="1"/>
    </xf>
    <xf numFmtId="192" fontId="67" fillId="0" borderId="0" xfId="51" applyNumberFormat="1" applyFont="1" applyBorder="1" applyAlignment="1" applyProtection="1">
      <alignment horizontal="left" vertical="center"/>
      <protection hidden="1"/>
    </xf>
    <xf numFmtId="191" fontId="28" fillId="0" borderId="0" xfId="51" applyNumberFormat="1" applyFont="1" applyBorder="1" applyAlignment="1" applyProtection="1">
      <alignment vertical="center"/>
      <protection hidden="1"/>
    </xf>
    <xf numFmtId="0" fontId="2" fillId="0" borderId="0" xfId="51" applyFont="1" applyBorder="1" applyAlignment="1" applyProtection="1">
      <alignment vertical="center"/>
      <protection hidden="1"/>
    </xf>
    <xf numFmtId="0" fontId="49" fillId="28" borderId="74" xfId="51" applyFont="1" applyFill="1" applyBorder="1" applyAlignment="1" applyProtection="1">
      <alignment horizontal="left" vertical="center" shrinkToFit="1"/>
      <protection locked="0"/>
    </xf>
    <xf numFmtId="0" fontId="68" fillId="28" borderId="75" xfId="51" applyFont="1" applyFill="1" applyBorder="1" applyAlignment="1" applyProtection="1">
      <alignment horizontal="center" vertical="center"/>
      <protection hidden="1"/>
    </xf>
    <xf numFmtId="0" fontId="49" fillId="28" borderId="75" xfId="51" applyNumberFormat="1" applyFont="1" applyFill="1" applyBorder="1" applyAlignment="1" applyProtection="1">
      <alignment horizontal="center" vertical="center" shrinkToFit="1"/>
      <protection locked="0"/>
    </xf>
    <xf numFmtId="0" fontId="49" fillId="28" borderId="74" xfId="51" applyNumberFormat="1" applyFont="1" applyFill="1" applyBorder="1" applyAlignment="1" applyProtection="1">
      <alignment horizontal="center" vertical="center"/>
      <protection locked="0"/>
    </xf>
    <xf numFmtId="0" fontId="2" fillId="28" borderId="0" xfId="51" applyFill="1" applyAlignment="1">
      <alignment vertical="center"/>
    </xf>
    <xf numFmtId="0" fontId="49" fillId="28" borderId="12" xfId="51" applyFont="1" applyFill="1" applyBorder="1" applyAlignment="1" applyProtection="1">
      <alignment horizontal="left" vertical="center" shrinkToFit="1"/>
      <protection locked="0"/>
    </xf>
    <xf numFmtId="0" fontId="68" fillId="28" borderId="2" xfId="51" applyFont="1" applyFill="1" applyBorder="1" applyAlignment="1" applyProtection="1">
      <alignment horizontal="center" vertical="center"/>
      <protection hidden="1"/>
    </xf>
    <xf numFmtId="0" fontId="49" fillId="28" borderId="2" xfId="51" applyNumberFormat="1" applyFont="1" applyFill="1" applyBorder="1" applyAlignment="1" applyProtection="1">
      <alignment horizontal="center" vertical="center" shrinkToFit="1"/>
      <protection locked="0"/>
    </xf>
    <xf numFmtId="0" fontId="49" fillId="28" borderId="12" xfId="51" applyNumberFormat="1" applyFont="1" applyFill="1" applyBorder="1" applyAlignment="1" applyProtection="1">
      <alignment horizontal="center" vertical="center"/>
      <protection locked="0"/>
    </xf>
    <xf numFmtId="0" fontId="4" fillId="0" borderId="0" xfId="51" applyFont="1" applyAlignment="1">
      <alignment vertical="center"/>
    </xf>
    <xf numFmtId="191" fontId="2" fillId="0" borderId="0" xfId="51" applyNumberFormat="1" applyAlignment="1">
      <alignment vertical="center"/>
    </xf>
    <xf numFmtId="0" fontId="69" fillId="28" borderId="0" xfId="51" applyFont="1" applyFill="1" applyAlignment="1" applyProtection="1">
      <alignment horizontal="centerContinuous" vertical="center"/>
      <protection hidden="1"/>
    </xf>
    <xf numFmtId="0" fontId="2" fillId="28" borderId="0" xfId="51" applyFont="1" applyFill="1" applyAlignment="1">
      <alignment vertical="center"/>
    </xf>
    <xf numFmtId="0" fontId="70" fillId="28" borderId="0" xfId="51" applyFont="1" applyFill="1" applyBorder="1" applyAlignment="1" applyProtection="1">
      <alignment horizontal="center" vertical="center"/>
      <protection hidden="1"/>
    </xf>
    <xf numFmtId="0" fontId="2" fillId="28" borderId="0" xfId="51" applyFont="1" applyFill="1" applyAlignment="1" applyProtection="1">
      <alignment vertical="center"/>
      <protection hidden="1"/>
    </xf>
    <xf numFmtId="0" fontId="54" fillId="28" borderId="0" xfId="51" quotePrefix="1" applyFont="1" applyFill="1" applyBorder="1" applyAlignment="1" applyProtection="1">
      <alignment vertical="center"/>
      <protection hidden="1"/>
    </xf>
    <xf numFmtId="0" fontId="2" fillId="28" borderId="0" xfId="51" applyFont="1" applyFill="1" applyBorder="1" applyAlignment="1" applyProtection="1">
      <alignment horizontal="center" vertical="center"/>
      <protection hidden="1"/>
    </xf>
    <xf numFmtId="0" fontId="2" fillId="28" borderId="0" xfId="51" applyFont="1" applyFill="1" applyBorder="1" applyAlignment="1" applyProtection="1">
      <alignment horizontal="centerContinuous" vertical="center"/>
      <protection hidden="1"/>
    </xf>
    <xf numFmtId="0" fontId="2" fillId="0" borderId="0" xfId="51" applyNumberFormat="1" applyFont="1" applyFill="1" applyBorder="1" applyAlignment="1" applyProtection="1">
      <alignment vertical="center"/>
      <protection hidden="1"/>
    </xf>
    <xf numFmtId="0" fontId="32" fillId="28" borderId="0" xfId="51" quotePrefix="1" applyFont="1" applyFill="1" applyBorder="1" applyAlignment="1" applyProtection="1">
      <alignment horizontal="center" vertical="center"/>
      <protection hidden="1"/>
    </xf>
    <xf numFmtId="0" fontId="2" fillId="28" borderId="0" xfId="51" quotePrefix="1" applyFont="1" applyFill="1" applyBorder="1" applyAlignment="1" applyProtection="1">
      <alignment horizontal="center" vertical="center"/>
      <protection hidden="1"/>
    </xf>
    <xf numFmtId="0" fontId="2" fillId="28" borderId="0" xfId="51" applyFont="1" applyFill="1" applyBorder="1" applyAlignment="1" applyProtection="1">
      <alignment horizontal="left" vertical="center"/>
      <protection hidden="1"/>
    </xf>
    <xf numFmtId="0" fontId="2" fillId="28" borderId="1" xfId="51" applyFont="1" applyFill="1" applyBorder="1" applyAlignment="1" applyProtection="1">
      <alignment horizontal="center" vertical="center"/>
      <protection hidden="1"/>
    </xf>
    <xf numFmtId="181" fontId="2" fillId="28" borderId="0" xfId="51" applyNumberFormat="1" applyFont="1" applyFill="1" applyAlignment="1">
      <alignment vertical="center"/>
    </xf>
    <xf numFmtId="0" fontId="46" fillId="28" borderId="0" xfId="51" quotePrefix="1" applyFont="1" applyFill="1" applyAlignment="1" applyProtection="1">
      <alignment vertical="center"/>
      <protection hidden="1"/>
    </xf>
    <xf numFmtId="0" fontId="2" fillId="28" borderId="0" xfId="51" applyFont="1" applyFill="1" applyBorder="1" applyAlignment="1">
      <alignment vertical="center"/>
    </xf>
    <xf numFmtId="0" fontId="2" fillId="28" borderId="2" xfId="51" applyFont="1" applyFill="1" applyBorder="1" applyAlignment="1" applyProtection="1">
      <alignment horizontal="right" vertical="center"/>
      <protection hidden="1"/>
    </xf>
    <xf numFmtId="0" fontId="2" fillId="28" borderId="78" xfId="51" applyFont="1" applyFill="1" applyBorder="1" applyAlignment="1" applyProtection="1">
      <alignment horizontal="center" vertical="center"/>
      <protection hidden="1"/>
    </xf>
    <xf numFmtId="0" fontId="54" fillId="28" borderId="0" xfId="51" applyFont="1" applyFill="1" applyBorder="1" applyAlignment="1" applyProtection="1">
      <alignment vertical="center"/>
      <protection hidden="1"/>
    </xf>
    <xf numFmtId="0" fontId="2" fillId="28" borderId="0" xfId="51" applyFont="1" applyFill="1" applyAlignment="1" applyProtection="1">
      <alignment horizontal="centerContinuous" vertical="center"/>
      <protection hidden="1"/>
    </xf>
    <xf numFmtId="0" fontId="51" fillId="28" borderId="0" xfId="51" applyFont="1" applyFill="1" applyAlignment="1" applyProtection="1">
      <alignment vertical="center"/>
      <protection hidden="1"/>
    </xf>
    <xf numFmtId="38" fontId="2" fillId="28" borderId="0" xfId="38" applyFont="1" applyFill="1" applyAlignment="1" applyProtection="1">
      <alignment vertical="center"/>
      <protection hidden="1"/>
    </xf>
    <xf numFmtId="0" fontId="4" fillId="28" borderId="0" xfId="51" applyFont="1" applyFill="1" applyAlignment="1">
      <alignment vertical="center"/>
    </xf>
    <xf numFmtId="49" fontId="2" fillId="28" borderId="79" xfId="0" applyNumberFormat="1" applyFont="1" applyFill="1" applyBorder="1" applyAlignment="1" applyProtection="1">
      <alignment vertical="center"/>
      <protection locked="0"/>
    </xf>
    <xf numFmtId="49" fontId="2" fillId="28" borderId="80" xfId="0" applyNumberFormat="1" applyFont="1" applyFill="1" applyBorder="1" applyAlignment="1" applyProtection="1">
      <alignment vertical="center"/>
      <protection locked="0"/>
    </xf>
    <xf numFmtId="49" fontId="2" fillId="28" borderId="81" xfId="0" applyNumberFormat="1" applyFont="1" applyFill="1" applyBorder="1" applyAlignment="1" applyProtection="1">
      <alignment vertical="center"/>
      <protection locked="0"/>
    </xf>
    <xf numFmtId="49" fontId="2" fillId="28" borderId="27" xfId="0" applyNumberFormat="1" applyFont="1" applyFill="1" applyBorder="1" applyAlignment="1" applyProtection="1">
      <alignment vertical="center"/>
      <protection locked="0"/>
    </xf>
    <xf numFmtId="49" fontId="2" fillId="28" borderId="82" xfId="0" applyNumberFormat="1" applyFont="1" applyFill="1" applyBorder="1" applyAlignment="1" applyProtection="1">
      <alignment vertical="center"/>
      <protection locked="0"/>
    </xf>
    <xf numFmtId="49" fontId="2" fillId="28" borderId="83" xfId="0" applyNumberFormat="1" applyFont="1" applyFill="1" applyBorder="1" applyAlignment="1" applyProtection="1">
      <alignment vertical="center"/>
      <protection locked="0"/>
    </xf>
    <xf numFmtId="49" fontId="2" fillId="28" borderId="84" xfId="0" quotePrefix="1" applyNumberFormat="1" applyFont="1" applyFill="1" applyBorder="1" applyAlignment="1" applyProtection="1">
      <alignment vertical="center"/>
      <protection locked="0"/>
    </xf>
    <xf numFmtId="0" fontId="28" fillId="0" borderId="46" xfId="51" applyFont="1" applyBorder="1" applyAlignment="1" applyProtection="1">
      <alignment vertical="center"/>
      <protection hidden="1"/>
    </xf>
    <xf numFmtId="182" fontId="30" fillId="28" borderId="85" xfId="52" applyNumberFormat="1" applyFont="1" applyFill="1" applyBorder="1" applyAlignment="1" applyProtection="1">
      <alignment horizontal="right" vertical="center"/>
      <protection hidden="1"/>
    </xf>
    <xf numFmtId="181" fontId="28" fillId="0" borderId="0" xfId="38" applyNumberFormat="1" applyFont="1" applyAlignment="1" applyProtection="1">
      <alignment vertical="center" wrapText="1" shrinkToFit="1"/>
      <protection hidden="1"/>
    </xf>
    <xf numFmtId="189" fontId="40" fillId="28" borderId="86" xfId="51" applyNumberFormat="1" applyFont="1" applyFill="1" applyBorder="1" applyAlignment="1" applyProtection="1">
      <alignment vertical="center" shrinkToFit="1"/>
      <protection hidden="1"/>
    </xf>
    <xf numFmtId="185" fontId="62" fillId="28" borderId="86" xfId="51" applyNumberFormat="1" applyFont="1" applyFill="1" applyBorder="1" applyAlignment="1" applyProtection="1">
      <alignment vertical="center"/>
      <protection hidden="1"/>
    </xf>
    <xf numFmtId="191" fontId="2" fillId="24" borderId="87" xfId="51" applyNumberFormat="1" applyFill="1" applyBorder="1" applyAlignment="1" applyProtection="1">
      <alignment horizontal="center" vertical="center"/>
      <protection hidden="1"/>
    </xf>
    <xf numFmtId="0" fontId="28" fillId="24" borderId="89" xfId="51" applyFont="1" applyFill="1" applyBorder="1" applyAlignment="1" applyProtection="1">
      <alignment horizontal="center" vertical="center" wrapText="1"/>
      <protection hidden="1"/>
    </xf>
    <xf numFmtId="0" fontId="28" fillId="24" borderId="90" xfId="51" applyFont="1" applyFill="1" applyBorder="1" applyAlignment="1" applyProtection="1">
      <alignment horizontal="center" vertical="center" wrapText="1"/>
      <protection hidden="1"/>
    </xf>
    <xf numFmtId="0" fontId="28" fillId="24" borderId="61" xfId="51" applyFont="1" applyFill="1" applyBorder="1" applyAlignment="1" applyProtection="1">
      <alignment horizontal="center" vertical="center" wrapText="1"/>
      <protection hidden="1"/>
    </xf>
    <xf numFmtId="0" fontId="28" fillId="24" borderId="62" xfId="51" applyFont="1" applyFill="1" applyBorder="1" applyAlignment="1" applyProtection="1">
      <alignment horizontal="center" vertical="center" wrapText="1"/>
      <protection hidden="1"/>
    </xf>
    <xf numFmtId="184" fontId="40" fillId="28" borderId="21" xfId="52" applyNumberFormat="1" applyFont="1" applyFill="1" applyBorder="1" applyAlignment="1" applyProtection="1">
      <alignment horizontal="center" vertical="center"/>
      <protection locked="0"/>
    </xf>
    <xf numFmtId="180" fontId="40" fillId="28" borderId="91" xfId="52" applyNumberFormat="1" applyFont="1" applyFill="1" applyBorder="1" applyAlignment="1" applyProtection="1">
      <alignment horizontal="right" vertical="center"/>
      <protection locked="0"/>
    </xf>
    <xf numFmtId="0" fontId="28" fillId="24" borderId="46" xfId="52" applyFont="1" applyFill="1" applyBorder="1" applyAlignment="1">
      <alignment vertical="center"/>
    </xf>
    <xf numFmtId="0" fontId="28" fillId="0" borderId="24" xfId="51" applyFont="1" applyBorder="1" applyAlignment="1">
      <alignment vertical="center"/>
    </xf>
    <xf numFmtId="181" fontId="2" fillId="0" borderId="0" xfId="51" applyNumberFormat="1" applyFont="1" applyProtection="1">
      <protection locked="0" hidden="1"/>
    </xf>
    <xf numFmtId="181" fontId="39" fillId="0" borderId="0" xfId="52" applyNumberFormat="1" applyFont="1" applyAlignment="1" applyProtection="1">
      <alignment vertical="center"/>
      <protection hidden="1"/>
    </xf>
    <xf numFmtId="0" fontId="32" fillId="0" borderId="29" xfId="0" applyFont="1" applyBorder="1" applyAlignment="1">
      <alignment horizontal="center" vertical="center"/>
    </xf>
    <xf numFmtId="0" fontId="32" fillId="0" borderId="92" xfId="0" applyFont="1" applyBorder="1" applyAlignment="1">
      <alignment horizontal="center" vertical="center"/>
    </xf>
    <xf numFmtId="176" fontId="32" fillId="0" borderId="92" xfId="0" applyNumberFormat="1" applyFont="1" applyBorder="1" applyAlignment="1">
      <alignment horizontal="center" vertical="center"/>
    </xf>
    <xf numFmtId="0" fontId="32" fillId="0" borderId="30" xfId="0" applyFont="1" applyBorder="1" applyAlignment="1">
      <alignment horizontal="center" vertical="center"/>
    </xf>
    <xf numFmtId="180" fontId="40" fillId="28" borderId="93" xfId="52" applyNumberFormat="1" applyFont="1" applyFill="1" applyBorder="1" applyAlignment="1" applyProtection="1">
      <alignment horizontal="right" vertical="center"/>
      <protection locked="0"/>
    </xf>
    <xf numFmtId="180" fontId="40" fillId="28" borderId="94" xfId="52" applyNumberFormat="1" applyFont="1" applyFill="1" applyBorder="1" applyAlignment="1" applyProtection="1">
      <alignment horizontal="right" vertical="center"/>
      <protection locked="0"/>
    </xf>
    <xf numFmtId="180" fontId="40" fillId="28" borderId="46" xfId="52" applyNumberFormat="1" applyFont="1" applyFill="1" applyBorder="1" applyAlignment="1" applyProtection="1">
      <alignment horizontal="right" vertical="center"/>
      <protection hidden="1"/>
    </xf>
    <xf numFmtId="180" fontId="40" fillId="28" borderId="95" xfId="52" applyNumberFormat="1" applyFont="1" applyFill="1" applyBorder="1" applyAlignment="1" applyProtection="1">
      <alignment horizontal="right" vertical="center"/>
      <protection locked="0"/>
    </xf>
    <xf numFmtId="184" fontId="40" fillId="28" borderId="96" xfId="52" applyNumberFormat="1" applyFont="1" applyFill="1" applyBorder="1" applyAlignment="1" applyProtection="1">
      <alignment horizontal="center" vertical="center"/>
      <protection locked="0"/>
    </xf>
    <xf numFmtId="180" fontId="40" fillId="28" borderId="96" xfId="52" applyNumberFormat="1" applyFont="1" applyFill="1" applyBorder="1" applyAlignment="1" applyProtection="1">
      <alignment horizontal="right" vertical="center"/>
      <protection locked="0"/>
    </xf>
    <xf numFmtId="180" fontId="40" fillId="28" borderId="97" xfId="52" applyNumberFormat="1" applyFont="1" applyFill="1" applyBorder="1" applyAlignment="1" applyProtection="1">
      <alignment horizontal="right" vertical="center"/>
      <protection locked="0"/>
    </xf>
    <xf numFmtId="189" fontId="40" fillId="28" borderId="98" xfId="51" applyNumberFormat="1" applyFont="1" applyFill="1" applyBorder="1" applyAlignment="1" applyProtection="1">
      <alignment vertical="center"/>
      <protection locked="0"/>
    </xf>
    <xf numFmtId="0" fontId="2" fillId="0" borderId="0" xfId="50" applyFont="1" applyAlignment="1">
      <alignment horizontal="center"/>
    </xf>
    <xf numFmtId="0" fontId="25" fillId="0" borderId="0" xfId="51" applyFont="1" applyAlignment="1" applyProtection="1">
      <alignment vertical="center"/>
      <protection hidden="1"/>
    </xf>
    <xf numFmtId="0" fontId="2" fillId="0" borderId="0" xfId="51" applyFont="1" applyFill="1" applyBorder="1" applyAlignment="1" applyProtection="1">
      <alignment vertical="center"/>
      <protection hidden="1"/>
    </xf>
    <xf numFmtId="197" fontId="2" fillId="0" borderId="0" xfId="51" applyNumberFormat="1" applyAlignment="1" applyProtection="1"/>
    <xf numFmtId="0" fontId="32" fillId="0" borderId="0" xfId="0" applyFont="1">
      <alignment vertical="center"/>
    </xf>
    <xf numFmtId="0" fontId="72" fillId="25" borderId="12" xfId="50" applyFont="1" applyFill="1" applyBorder="1" applyAlignment="1"/>
    <xf numFmtId="0" fontId="72" fillId="26" borderId="12" xfId="50" applyFont="1" applyFill="1" applyBorder="1" applyAlignment="1">
      <alignment vertical="center" wrapText="1"/>
    </xf>
    <xf numFmtId="0" fontId="32" fillId="0" borderId="0" xfId="0" applyFont="1" applyAlignment="1" applyProtection="1">
      <alignment vertical="center"/>
      <protection hidden="1"/>
    </xf>
    <xf numFmtId="0" fontId="73" fillId="0" borderId="0" xfId="51" applyNumberFormat="1" applyFont="1" applyFill="1" applyAlignment="1" applyProtection="1">
      <alignment horizontal="right"/>
      <protection locked="0"/>
    </xf>
    <xf numFmtId="181" fontId="28" fillId="0" borderId="0" xfId="38" applyNumberFormat="1" applyFont="1" applyBorder="1" applyAlignment="1" applyProtection="1">
      <alignment horizontal="left" vertical="center"/>
      <protection locked="0" hidden="1"/>
    </xf>
    <xf numFmtId="189" fontId="32" fillId="0" borderId="99" xfId="48" applyNumberFormat="1" applyFont="1" applyBorder="1" applyAlignment="1">
      <alignment horizontal="right" vertical="center" indent="1"/>
    </xf>
    <xf numFmtId="0" fontId="28" fillId="0" borderId="0" xfId="38" applyNumberFormat="1" applyFont="1" applyAlignment="1" applyProtection="1">
      <alignment horizontal="right" vertical="center" wrapText="1" shrinkToFit="1"/>
      <protection hidden="1"/>
    </xf>
    <xf numFmtId="180" fontId="40" fillId="28" borderId="27" xfId="52" applyNumberFormat="1" applyFont="1" applyFill="1" applyBorder="1" applyAlignment="1" applyProtection="1">
      <alignment horizontal="center" vertical="center"/>
      <protection hidden="1"/>
    </xf>
    <xf numFmtId="0" fontId="2" fillId="0" borderId="80" xfId="52" applyNumberFormat="1" applyFont="1" applyFill="1" applyBorder="1" applyAlignment="1" applyProtection="1">
      <alignment vertical="center" shrinkToFit="1"/>
      <protection locked="0"/>
    </xf>
    <xf numFmtId="0" fontId="0" fillId="0" borderId="100" xfId="52" applyNumberFormat="1" applyFont="1" applyFill="1" applyBorder="1" applyAlignment="1" applyProtection="1">
      <alignment vertical="center" shrinkToFit="1"/>
      <protection locked="0"/>
    </xf>
    <xf numFmtId="0" fontId="2" fillId="0" borderId="83" xfId="52" applyNumberFormat="1" applyFont="1" applyFill="1" applyBorder="1" applyAlignment="1" applyProtection="1">
      <alignment vertical="center" shrinkToFit="1"/>
      <protection locked="0"/>
    </xf>
    <xf numFmtId="0" fontId="29" fillId="0" borderId="72" xfId="0" applyNumberFormat="1" applyFont="1" applyFill="1" applyBorder="1" applyAlignment="1" applyProtection="1">
      <alignment vertical="center" shrinkToFit="1"/>
      <protection hidden="1"/>
    </xf>
    <xf numFmtId="0" fontId="28" fillId="0" borderId="0" xfId="38" applyNumberFormat="1" applyFont="1" applyBorder="1" applyAlignment="1" applyProtection="1">
      <alignment vertical="center"/>
      <protection hidden="1"/>
    </xf>
    <xf numFmtId="0" fontId="28" fillId="0" borderId="0" xfId="38" applyNumberFormat="1" applyFont="1" applyBorder="1" applyAlignment="1">
      <alignment horizontal="center" vertical="center"/>
    </xf>
    <xf numFmtId="0" fontId="44" fillId="0" borderId="0" xfId="38" applyNumberFormat="1" applyFont="1" applyBorder="1" applyAlignment="1">
      <alignment vertical="center"/>
    </xf>
    <xf numFmtId="0" fontId="28" fillId="0" borderId="0" xfId="38" applyNumberFormat="1" applyFont="1" applyBorder="1" applyAlignment="1" applyProtection="1">
      <alignment vertical="center"/>
      <protection locked="0"/>
    </xf>
    <xf numFmtId="0" fontId="26" fillId="0" borderId="0" xfId="38" applyNumberFormat="1" applyFont="1" applyBorder="1" applyAlignment="1" applyProtection="1">
      <alignment vertical="center"/>
      <protection locked="0"/>
    </xf>
    <xf numFmtId="180" fontId="28" fillId="28" borderId="27" xfId="52" applyNumberFormat="1" applyFont="1" applyFill="1" applyBorder="1" applyAlignment="1" applyProtection="1">
      <alignment horizontal="right" vertical="center" shrinkToFit="1"/>
      <protection hidden="1"/>
    </xf>
    <xf numFmtId="180" fontId="28" fillId="28" borderId="100" xfId="52" applyNumberFormat="1" applyFont="1" applyFill="1" applyBorder="1" applyAlignment="1" applyProtection="1">
      <alignment horizontal="right" vertical="center" shrinkToFit="1"/>
      <protection hidden="1"/>
    </xf>
    <xf numFmtId="189" fontId="40" fillId="28" borderId="17" xfId="52" applyNumberFormat="1" applyFont="1" applyFill="1" applyBorder="1" applyAlignment="1" applyProtection="1">
      <alignment vertical="center" shrinkToFit="1"/>
      <protection hidden="1"/>
    </xf>
    <xf numFmtId="189" fontId="40" fillId="28" borderId="19" xfId="52" applyNumberFormat="1" applyFont="1" applyFill="1" applyBorder="1" applyAlignment="1" applyProtection="1">
      <alignment vertical="center" shrinkToFit="1"/>
      <protection hidden="1"/>
    </xf>
    <xf numFmtId="38" fontId="28" fillId="24" borderId="90" xfId="38" applyFont="1" applyFill="1" applyBorder="1" applyAlignment="1" applyProtection="1">
      <alignment vertical="center"/>
      <protection hidden="1"/>
    </xf>
    <xf numFmtId="38" fontId="28" fillId="0" borderId="17" xfId="38" applyFont="1" applyBorder="1" applyAlignment="1" applyProtection="1">
      <alignment vertical="center"/>
    </xf>
    <xf numFmtId="38" fontId="28" fillId="0" borderId="19" xfId="38" applyFont="1" applyBorder="1" applyAlignment="1" applyProtection="1">
      <alignment vertical="center"/>
    </xf>
    <xf numFmtId="0" fontId="28" fillId="24" borderId="89" xfId="52" applyFont="1" applyFill="1" applyBorder="1" applyAlignment="1" applyProtection="1">
      <alignment horizontal="center" vertical="center"/>
      <protection hidden="1"/>
    </xf>
    <xf numFmtId="181" fontId="49" fillId="0" borderId="0" xfId="51" applyNumberFormat="1" applyFont="1" applyAlignment="1" applyProtection="1">
      <alignment horizontal="left" wrapText="1"/>
      <protection hidden="1"/>
    </xf>
    <xf numFmtId="177" fontId="40" fillId="28" borderId="24" xfId="52" applyNumberFormat="1" applyFont="1" applyFill="1" applyBorder="1" applyAlignment="1" applyProtection="1">
      <alignment horizontal="right" vertical="center"/>
      <protection hidden="1"/>
    </xf>
    <xf numFmtId="180" fontId="40" fillId="28" borderId="101" xfId="52" applyNumberFormat="1" applyFont="1" applyFill="1" applyBorder="1" applyAlignment="1" applyProtection="1">
      <alignment horizontal="right" vertical="center" shrinkToFit="1"/>
      <protection hidden="1"/>
    </xf>
    <xf numFmtId="180" fontId="40" fillId="28" borderId="102" xfId="52" applyNumberFormat="1" applyFont="1" applyFill="1" applyBorder="1" applyAlignment="1" applyProtection="1">
      <alignment horizontal="right" vertical="center" shrinkToFit="1"/>
      <protection hidden="1"/>
    </xf>
    <xf numFmtId="180" fontId="40" fillId="28" borderId="103" xfId="52" applyNumberFormat="1" applyFont="1" applyFill="1" applyBorder="1" applyAlignment="1" applyProtection="1">
      <alignment horizontal="right" vertical="center" shrinkToFit="1"/>
      <protection hidden="1"/>
    </xf>
    <xf numFmtId="180" fontId="40" fillId="28" borderId="104" xfId="52" applyNumberFormat="1" applyFont="1" applyFill="1" applyBorder="1" applyAlignment="1" applyProtection="1">
      <alignment horizontal="right" vertical="center" shrinkToFit="1"/>
      <protection hidden="1"/>
    </xf>
    <xf numFmtId="0" fontId="0" fillId="0" borderId="104" xfId="0" applyBorder="1" applyProtection="1">
      <alignment vertical="center"/>
      <protection hidden="1"/>
    </xf>
    <xf numFmtId="180" fontId="40" fillId="28" borderId="33" xfId="52" applyNumberFormat="1" applyFont="1" applyFill="1" applyBorder="1" applyAlignment="1" applyProtection="1">
      <alignment horizontal="right" vertical="center" shrinkToFit="1"/>
      <protection hidden="1"/>
    </xf>
    <xf numFmtId="189" fontId="2" fillId="28" borderId="25" xfId="52" applyNumberFormat="1" applyFont="1" applyFill="1" applyBorder="1" applyAlignment="1" applyProtection="1">
      <alignment horizontal="right" vertical="center"/>
      <protection hidden="1"/>
    </xf>
    <xf numFmtId="38" fontId="28" fillId="0" borderId="105" xfId="38" applyFont="1" applyBorder="1" applyAlignment="1" applyProtection="1">
      <alignment vertical="center"/>
    </xf>
    <xf numFmtId="0" fontId="28" fillId="0" borderId="106" xfId="52" applyFont="1" applyBorder="1" applyAlignment="1">
      <alignment vertical="center"/>
    </xf>
    <xf numFmtId="189" fontId="40" fillId="28" borderId="105" xfId="52" applyNumberFormat="1" applyFont="1" applyFill="1" applyBorder="1" applyAlignment="1" applyProtection="1">
      <alignment vertical="center" shrinkToFit="1"/>
      <protection hidden="1"/>
    </xf>
    <xf numFmtId="189" fontId="40" fillId="28" borderId="106" xfId="52" applyNumberFormat="1" applyFont="1" applyFill="1" applyBorder="1" applyAlignment="1" applyProtection="1">
      <alignment vertical="center" shrinkToFit="1"/>
      <protection hidden="1"/>
    </xf>
    <xf numFmtId="180" fontId="40" fillId="28" borderId="83" xfId="52" applyNumberFormat="1" applyFont="1" applyFill="1" applyBorder="1" applyAlignment="1" applyProtection="1">
      <alignment horizontal="right" vertical="center" shrinkToFit="1"/>
      <protection hidden="1"/>
    </xf>
    <xf numFmtId="189" fontId="40" fillId="28" borderId="105" xfId="52" applyNumberFormat="1" applyFont="1" applyFill="1" applyBorder="1" applyAlignment="1" applyProtection="1">
      <alignment horizontal="left" vertical="center" shrinkToFit="1"/>
      <protection hidden="1"/>
    </xf>
    <xf numFmtId="0" fontId="49" fillId="28" borderId="108" xfId="51" applyFont="1" applyFill="1" applyBorder="1" applyAlignment="1" applyProtection="1">
      <alignment horizontal="left" vertical="center" shrinkToFit="1"/>
      <protection locked="0"/>
    </xf>
    <xf numFmtId="0" fontId="68" fillId="28" borderId="78" xfId="51" applyFont="1" applyFill="1" applyBorder="1" applyAlignment="1" applyProtection="1">
      <alignment horizontal="center" vertical="center"/>
      <protection hidden="1"/>
    </xf>
    <xf numFmtId="0" fontId="49" fillId="28" borderId="78" xfId="51" applyNumberFormat="1" applyFont="1" applyFill="1" applyBorder="1" applyAlignment="1" applyProtection="1">
      <alignment horizontal="center" vertical="center" shrinkToFit="1"/>
      <protection locked="0"/>
    </xf>
    <xf numFmtId="0" fontId="49" fillId="28" borderId="108" xfId="51" applyNumberFormat="1" applyFont="1" applyFill="1" applyBorder="1" applyAlignment="1" applyProtection="1">
      <alignment horizontal="center" vertical="center"/>
      <protection locked="0"/>
    </xf>
    <xf numFmtId="56" fontId="32" fillId="0" borderId="109" xfId="48" applyNumberFormat="1" applyFont="1" applyBorder="1" applyAlignment="1">
      <alignment horizontal="right"/>
    </xf>
    <xf numFmtId="0" fontId="32" fillId="26" borderId="33" xfId="48" applyFont="1" applyFill="1" applyBorder="1">
      <alignment vertical="center"/>
    </xf>
    <xf numFmtId="178" fontId="32" fillId="26" borderId="33" xfId="48" applyNumberFormat="1" applyFont="1" applyFill="1" applyBorder="1">
      <alignment vertical="center"/>
    </xf>
    <xf numFmtId="0" fontId="32" fillId="29" borderId="33" xfId="48" applyFont="1" applyFill="1" applyBorder="1">
      <alignment vertical="center"/>
    </xf>
    <xf numFmtId="178" fontId="32" fillId="25" borderId="33" xfId="48" applyNumberFormat="1" applyFont="1" applyFill="1" applyBorder="1">
      <alignment vertical="center"/>
    </xf>
    <xf numFmtId="187" fontId="32" fillId="0" borderId="34" xfId="48" applyNumberFormat="1" applyFont="1" applyBorder="1">
      <alignment vertical="center"/>
    </xf>
    <xf numFmtId="176" fontId="32" fillId="0" borderId="32" xfId="48" applyNumberFormat="1" applyFont="1" applyBorder="1">
      <alignment vertical="center"/>
    </xf>
    <xf numFmtId="180" fontId="32" fillId="0" borderId="34" xfId="48" applyNumberFormat="1" applyFont="1" applyBorder="1">
      <alignment vertical="center"/>
    </xf>
    <xf numFmtId="177" fontId="32" fillId="0" borderId="32" xfId="48" applyNumberFormat="1" applyFont="1" applyBorder="1">
      <alignment vertical="center"/>
    </xf>
    <xf numFmtId="177" fontId="32" fillId="0" borderId="33" xfId="48" applyNumberFormat="1" applyFont="1" applyBorder="1" applyAlignment="1">
      <alignment horizontal="center" vertical="center"/>
    </xf>
    <xf numFmtId="177" fontId="32" fillId="0" borderId="33" xfId="48" applyNumberFormat="1" applyFont="1" applyBorder="1" applyAlignment="1">
      <alignment horizontal="right" vertical="center"/>
    </xf>
    <xf numFmtId="189" fontId="32" fillId="0" borderId="110" xfId="48" applyNumberFormat="1" applyFont="1" applyBorder="1" applyAlignment="1">
      <alignment horizontal="right" vertical="center" indent="1"/>
    </xf>
    <xf numFmtId="181" fontId="28" fillId="0" borderId="1" xfId="38" applyNumberFormat="1" applyFont="1" applyBorder="1" applyAlignment="1">
      <alignment vertical="center"/>
    </xf>
    <xf numFmtId="0" fontId="32" fillId="0" borderId="1" xfId="48" applyFont="1" applyBorder="1">
      <alignment vertical="center"/>
    </xf>
    <xf numFmtId="0" fontId="32" fillId="0" borderId="1" xfId="48" applyFont="1" applyFill="1" applyBorder="1">
      <alignment vertical="center"/>
    </xf>
    <xf numFmtId="180" fontId="32" fillId="0" borderId="1" xfId="48" applyNumberFormat="1" applyFont="1" applyBorder="1">
      <alignment vertical="center"/>
    </xf>
    <xf numFmtId="176" fontId="32" fillId="0" borderId="1" xfId="48" applyNumberFormat="1" applyFont="1" applyBorder="1">
      <alignment vertical="center"/>
    </xf>
    <xf numFmtId="0" fontId="2" fillId="0" borderId="1" xfId="48" applyBorder="1">
      <alignment vertical="center"/>
    </xf>
    <xf numFmtId="0" fontId="32" fillId="0" borderId="111" xfId="48" applyFont="1" applyBorder="1">
      <alignment vertical="center"/>
    </xf>
    <xf numFmtId="180" fontId="32" fillId="0" borderId="30" xfId="48" applyNumberFormat="1" applyFont="1" applyBorder="1">
      <alignment vertical="center"/>
    </xf>
    <xf numFmtId="0" fontId="2" fillId="0" borderId="0" xfId="51" applyFill="1" applyProtection="1"/>
    <xf numFmtId="0" fontId="2" fillId="0" borderId="0" xfId="51" applyFill="1" applyAlignment="1" applyProtection="1">
      <alignment horizontal="right"/>
    </xf>
    <xf numFmtId="0" fontId="2" fillId="0" borderId="0" xfId="51" applyFont="1" applyFill="1" applyProtection="1"/>
    <xf numFmtId="0" fontId="2" fillId="0" borderId="0" xfId="51" applyFill="1" applyAlignment="1" applyProtection="1">
      <alignment horizontal="center"/>
    </xf>
    <xf numFmtId="0" fontId="0" fillId="28" borderId="0" xfId="0" applyFill="1" applyProtection="1">
      <alignment vertical="center"/>
    </xf>
    <xf numFmtId="0" fontId="2" fillId="0" borderId="0" xfId="51" applyProtection="1"/>
    <xf numFmtId="0" fontId="2" fillId="0" borderId="0" xfId="51" applyFont="1" applyProtection="1"/>
    <xf numFmtId="0" fontId="2" fillId="0" borderId="0" xfId="51" applyFont="1" applyAlignment="1" applyProtection="1">
      <alignment horizontal="left"/>
    </xf>
    <xf numFmtId="0" fontId="0" fillId="0" borderId="0" xfId="0" applyProtection="1">
      <alignment vertical="center"/>
    </xf>
    <xf numFmtId="0" fontId="2" fillId="0" borderId="0" xfId="49" applyProtection="1">
      <alignment vertical="center"/>
    </xf>
    <xf numFmtId="0" fontId="2" fillId="0" borderId="0" xfId="49" applyFont="1" applyProtection="1">
      <alignment vertical="center"/>
    </xf>
    <xf numFmtId="0" fontId="2" fillId="0" borderId="0" xfId="0" applyFont="1" applyProtection="1">
      <alignment vertical="center"/>
    </xf>
    <xf numFmtId="200" fontId="2" fillId="0" borderId="0" xfId="49" applyNumberFormat="1" applyAlignment="1" applyProtection="1">
      <alignment vertical="center"/>
    </xf>
    <xf numFmtId="0" fontId="1" fillId="0" borderId="0" xfId="51" applyFont="1" applyFill="1" applyProtection="1"/>
    <xf numFmtId="0" fontId="1" fillId="0" borderId="0" xfId="51" applyFont="1" applyFill="1" applyAlignment="1" applyProtection="1">
      <alignment horizontal="right"/>
    </xf>
    <xf numFmtId="49" fontId="1" fillId="0" borderId="0" xfId="51" applyNumberFormat="1" applyFont="1" applyFill="1" applyAlignment="1" applyProtection="1">
      <alignment horizontal="right"/>
    </xf>
    <xf numFmtId="189" fontId="2" fillId="0" borderId="0" xfId="51" applyNumberFormat="1" applyFill="1" applyProtection="1"/>
    <xf numFmtId="0" fontId="2" fillId="28" borderId="0" xfId="51" applyFont="1" applyFill="1" applyProtection="1"/>
    <xf numFmtId="0" fontId="50" fillId="0" borderId="0" xfId="51" applyFont="1" applyFill="1" applyProtection="1"/>
    <xf numFmtId="0" fontId="15" fillId="0" borderId="0" xfId="51" applyFont="1" applyFill="1" applyProtection="1"/>
    <xf numFmtId="0" fontId="32" fillId="0" borderId="29" xfId="48" applyFont="1" applyBorder="1" applyAlignment="1">
      <alignment horizontal="center" wrapText="1"/>
    </xf>
    <xf numFmtId="20" fontId="32" fillId="0" borderId="51" xfId="48" applyNumberFormat="1" applyFont="1" applyBorder="1">
      <alignment vertical="center"/>
    </xf>
    <xf numFmtId="0" fontId="32" fillId="0" borderId="1" xfId="48" applyFont="1" applyBorder="1" applyAlignment="1">
      <alignment horizontal="center" wrapText="1"/>
    </xf>
    <xf numFmtId="0" fontId="32" fillId="0" borderId="30" xfId="48" applyNumberFormat="1" applyFont="1" applyBorder="1" applyAlignment="1">
      <alignment horizontal="center" vertical="center" wrapText="1"/>
    </xf>
    <xf numFmtId="0" fontId="32" fillId="0" borderId="92" xfId="48" applyFont="1" applyBorder="1" applyAlignment="1">
      <alignment horizontal="center" wrapText="1"/>
    </xf>
    <xf numFmtId="20" fontId="32" fillId="0" borderId="52" xfId="48" applyNumberFormat="1" applyFont="1" applyBorder="1">
      <alignment vertical="center"/>
    </xf>
    <xf numFmtId="178" fontId="32" fillId="0" borderId="53" xfId="48" applyNumberFormat="1" applyFont="1" applyBorder="1">
      <alignment vertical="center"/>
    </xf>
    <xf numFmtId="0" fontId="2" fillId="0" borderId="0" xfId="51" applyAlignment="1" applyProtection="1">
      <alignment horizontal="right" shrinkToFit="1"/>
    </xf>
    <xf numFmtId="181" fontId="2" fillId="0" borderId="0" xfId="49" applyNumberFormat="1" applyFont="1" applyProtection="1">
      <alignment vertical="center"/>
    </xf>
    <xf numFmtId="181" fontId="46" fillId="24" borderId="90" xfId="51" applyNumberFormat="1" applyFont="1" applyFill="1" applyBorder="1" applyAlignment="1" applyProtection="1"/>
    <xf numFmtId="0" fontId="46" fillId="24" borderId="90" xfId="51" applyFont="1" applyFill="1" applyBorder="1" applyAlignment="1" applyProtection="1"/>
    <xf numFmtId="0" fontId="1" fillId="0" borderId="0" xfId="51" applyFont="1" applyProtection="1"/>
    <xf numFmtId="0" fontId="2" fillId="0" borderId="0" xfId="51" applyAlignment="1" applyProtection="1">
      <alignment horizontal="right"/>
    </xf>
    <xf numFmtId="0" fontId="29" fillId="31" borderId="72" xfId="0" applyNumberFormat="1" applyFont="1" applyFill="1" applyBorder="1" applyAlignment="1" applyProtection="1">
      <alignment horizontal="right" vertical="center" shrinkToFit="1"/>
    </xf>
    <xf numFmtId="0" fontId="28" fillId="0" borderId="0" xfId="51" applyFont="1" applyAlignment="1" applyProtection="1">
      <alignment horizontal="right" vertical="center"/>
    </xf>
    <xf numFmtId="0" fontId="28" fillId="0" borderId="0" xfId="51" applyFont="1" applyAlignment="1" applyProtection="1">
      <alignment vertical="center"/>
    </xf>
    <xf numFmtId="0" fontId="2" fillId="0" borderId="0" xfId="51" applyNumberFormat="1" applyFont="1" applyBorder="1" applyAlignment="1" applyProtection="1">
      <alignment horizontal="left" vertical="center" shrinkToFit="1"/>
    </xf>
    <xf numFmtId="0" fontId="29" fillId="0" borderId="0" xfId="51" applyNumberFormat="1" applyFont="1" applyFill="1" applyBorder="1" applyAlignment="1" applyProtection="1">
      <alignment horizontal="center" vertical="center"/>
    </xf>
    <xf numFmtId="0" fontId="28" fillId="24" borderId="62" xfId="51" applyFont="1" applyFill="1" applyBorder="1" applyAlignment="1" applyProtection="1">
      <alignment horizontal="center" vertical="center" wrapText="1"/>
    </xf>
    <xf numFmtId="0" fontId="28" fillId="28" borderId="65" xfId="51" applyFont="1" applyFill="1" applyBorder="1" applyAlignment="1" applyProtection="1">
      <alignment horizontal="center" vertical="center"/>
    </xf>
    <xf numFmtId="189" fontId="49" fillId="28" borderId="65" xfId="51" applyNumberFormat="1" applyFont="1" applyFill="1" applyBorder="1" applyAlignment="1" applyProtection="1">
      <alignment horizontal="right" vertical="center" shrinkToFit="1"/>
    </xf>
    <xf numFmtId="20" fontId="49" fillId="28" borderId="17" xfId="51" applyNumberFormat="1" applyFont="1" applyFill="1" applyBorder="1" applyAlignment="1" applyProtection="1">
      <alignment horizontal="right" vertical="center" shrinkToFit="1"/>
    </xf>
    <xf numFmtId="0" fontId="28" fillId="28" borderId="21" xfId="51" applyFont="1" applyFill="1" applyBorder="1" applyAlignment="1" applyProtection="1">
      <alignment horizontal="center" vertical="center"/>
    </xf>
    <xf numFmtId="189" fontId="49" fillId="28" borderId="21" xfId="51" applyNumberFormat="1" applyFont="1" applyFill="1" applyBorder="1" applyAlignment="1" applyProtection="1">
      <alignment horizontal="right" vertical="center" shrinkToFit="1"/>
    </xf>
    <xf numFmtId="20" fontId="49" fillId="28" borderId="19" xfId="51" applyNumberFormat="1" applyFont="1" applyFill="1" applyBorder="1" applyAlignment="1" applyProtection="1">
      <alignment horizontal="right" vertical="center" shrinkToFit="1"/>
    </xf>
    <xf numFmtId="0" fontId="28" fillId="28" borderId="23" xfId="51" applyFont="1" applyFill="1" applyBorder="1" applyAlignment="1" applyProtection="1">
      <alignment horizontal="center" vertical="center"/>
    </xf>
    <xf numFmtId="189" fontId="49" fillId="28" borderId="23" xfId="51" applyNumberFormat="1" applyFont="1" applyFill="1" applyBorder="1" applyAlignment="1" applyProtection="1">
      <alignment horizontal="right" vertical="center" shrinkToFit="1"/>
    </xf>
    <xf numFmtId="0" fontId="1" fillId="0" borderId="87" xfId="51" applyFont="1" applyFill="1" applyBorder="1" applyAlignment="1" applyProtection="1">
      <alignment vertical="center"/>
    </xf>
    <xf numFmtId="0" fontId="1" fillId="0" borderId="76" xfId="51" applyFont="1" applyFill="1" applyBorder="1" applyAlignment="1" applyProtection="1">
      <alignment vertical="center"/>
    </xf>
    <xf numFmtId="0" fontId="1" fillId="0" borderId="114" xfId="51" applyFont="1" applyFill="1" applyBorder="1" applyAlignment="1" applyProtection="1">
      <alignment vertical="center"/>
    </xf>
    <xf numFmtId="0" fontId="2" fillId="0" borderId="76" xfId="51" applyFont="1" applyFill="1" applyBorder="1" applyAlignment="1" applyProtection="1">
      <alignment horizontal="center" vertical="center"/>
    </xf>
    <xf numFmtId="198" fontId="54" fillId="0" borderId="76" xfId="51" applyNumberFormat="1" applyFont="1" applyFill="1" applyBorder="1" applyAlignment="1" applyProtection="1">
      <alignment horizontal="right" vertical="center"/>
    </xf>
    <xf numFmtId="199" fontId="54" fillId="0" borderId="77" xfId="51" applyNumberFormat="1" applyFont="1" applyFill="1" applyBorder="1" applyAlignment="1" applyProtection="1">
      <alignment horizontal="left" vertical="center"/>
    </xf>
    <xf numFmtId="0" fontId="2" fillId="0" borderId="115" xfId="51" applyFont="1" applyFill="1" applyBorder="1" applyAlignment="1" applyProtection="1">
      <alignment vertical="center"/>
    </xf>
    <xf numFmtId="0" fontId="2" fillId="0" borderId="2" xfId="51" applyFont="1" applyFill="1" applyBorder="1" applyAlignment="1" applyProtection="1">
      <alignment vertical="center"/>
    </xf>
    <xf numFmtId="0" fontId="2" fillId="0" borderId="116" xfId="51" applyFont="1" applyFill="1" applyBorder="1" applyAlignment="1" applyProtection="1">
      <alignment vertical="center"/>
    </xf>
    <xf numFmtId="0" fontId="49" fillId="0" borderId="117" xfId="51" applyFont="1" applyFill="1" applyBorder="1" applyAlignment="1" applyProtection="1">
      <alignment vertical="center"/>
    </xf>
    <xf numFmtId="0" fontId="2" fillId="0" borderId="2" xfId="51" applyFont="1" applyFill="1" applyBorder="1" applyAlignment="1" applyProtection="1">
      <alignment vertical="center" shrinkToFit="1"/>
    </xf>
    <xf numFmtId="0" fontId="2" fillId="0" borderId="64" xfId="51" applyFont="1" applyFill="1" applyBorder="1" applyAlignment="1" applyProtection="1">
      <alignment vertical="center" shrinkToFit="1"/>
    </xf>
    <xf numFmtId="0" fontId="2" fillId="0" borderId="118" xfId="51" applyFont="1" applyFill="1" applyBorder="1" applyAlignment="1" applyProtection="1">
      <alignment vertical="center"/>
    </xf>
    <xf numFmtId="0" fontId="2" fillId="0" borderId="78" xfId="51" applyFont="1" applyFill="1" applyBorder="1" applyAlignment="1" applyProtection="1">
      <alignment vertical="center"/>
    </xf>
    <xf numFmtId="0" fontId="2" fillId="0" borderId="119" xfId="51" applyFont="1" applyFill="1" applyBorder="1" applyAlignment="1" applyProtection="1">
      <alignment vertical="center"/>
    </xf>
    <xf numFmtId="0" fontId="54" fillId="0" borderId="36" xfId="51" applyFont="1" applyFill="1" applyBorder="1" applyAlignment="1" applyProtection="1">
      <alignment vertical="center"/>
    </xf>
    <xf numFmtId="0" fontId="2" fillId="0" borderId="78" xfId="51" applyFont="1" applyFill="1" applyBorder="1" applyAlignment="1" applyProtection="1">
      <alignment vertical="center" shrinkToFit="1"/>
    </xf>
    <xf numFmtId="0" fontId="2" fillId="0" borderId="120" xfId="51" applyFont="1" applyFill="1" applyBorder="1" applyAlignment="1" applyProtection="1">
      <alignment vertical="center" shrinkToFit="1"/>
    </xf>
    <xf numFmtId="0" fontId="2" fillId="0" borderId="0" xfId="51" applyFont="1" applyFill="1" applyBorder="1" applyAlignment="1" applyProtection="1">
      <alignment vertical="center"/>
    </xf>
    <xf numFmtId="0" fontId="46" fillId="0" borderId="33" xfId="51" quotePrefix="1" applyFont="1" applyFill="1" applyBorder="1" applyAlignment="1" applyProtection="1">
      <alignment vertical="center"/>
    </xf>
    <xf numFmtId="0" fontId="2" fillId="0" borderId="33" xfId="51" applyFont="1" applyFill="1" applyBorder="1" applyAlignment="1" applyProtection="1">
      <alignment vertical="center"/>
    </xf>
    <xf numFmtId="191" fontId="54" fillId="0" borderId="121" xfId="51" quotePrefix="1" applyNumberFormat="1" applyFont="1" applyFill="1" applyBorder="1" applyAlignment="1" applyProtection="1">
      <alignment horizontal="center" vertical="center"/>
    </xf>
    <xf numFmtId="0" fontId="49" fillId="0" borderId="2" xfId="51" applyFont="1" applyFill="1" applyBorder="1" applyAlignment="1" applyProtection="1">
      <alignment vertical="center"/>
    </xf>
    <xf numFmtId="0" fontId="49" fillId="0" borderId="116" xfId="51" applyFont="1" applyFill="1" applyBorder="1" applyAlignment="1" applyProtection="1">
      <alignment vertical="center"/>
    </xf>
    <xf numFmtId="0" fontId="28" fillId="0" borderId="116" xfId="51" applyFont="1" applyFill="1" applyBorder="1" applyAlignment="1" applyProtection="1">
      <alignment vertical="center"/>
    </xf>
    <xf numFmtId="20" fontId="54" fillId="0" borderId="116" xfId="51" applyNumberFormat="1" applyFont="1" applyFill="1" applyBorder="1" applyAlignment="1" applyProtection="1">
      <alignment vertical="center"/>
    </xf>
    <xf numFmtId="193" fontId="54" fillId="0" borderId="64" xfId="51" applyNumberFormat="1" applyFont="1" applyFill="1" applyBorder="1" applyAlignment="1" applyProtection="1">
      <alignment horizontal="right" vertical="center" shrinkToFit="1"/>
    </xf>
    <xf numFmtId="191" fontId="54" fillId="0" borderId="115" xfId="51" quotePrefix="1" applyNumberFormat="1" applyFont="1" applyFill="1" applyBorder="1" applyAlignment="1" applyProtection="1">
      <alignment horizontal="center" vertical="center"/>
    </xf>
    <xf numFmtId="191" fontId="54" fillId="0" borderId="118" xfId="51" quotePrefix="1" applyNumberFormat="1" applyFont="1" applyFill="1" applyBorder="1" applyAlignment="1" applyProtection="1">
      <alignment horizontal="center" vertical="center"/>
    </xf>
    <xf numFmtId="0" fontId="49" fillId="0" borderId="36" xfId="51" applyFont="1" applyFill="1" applyBorder="1" applyAlignment="1" applyProtection="1">
      <alignment vertical="center"/>
    </xf>
    <xf numFmtId="0" fontId="49" fillId="0" borderId="78" xfId="51" applyFont="1" applyFill="1" applyBorder="1" applyAlignment="1" applyProtection="1">
      <alignment vertical="center"/>
    </xf>
    <xf numFmtId="0" fontId="49" fillId="0" borderId="119" xfId="51" applyFont="1" applyFill="1" applyBorder="1" applyAlignment="1" applyProtection="1">
      <alignment vertical="center"/>
    </xf>
    <xf numFmtId="0" fontId="28" fillId="0" borderId="119" xfId="51" applyFont="1" applyFill="1" applyBorder="1" applyAlignment="1" applyProtection="1">
      <alignment vertical="center"/>
    </xf>
    <xf numFmtId="20" fontId="2" fillId="0" borderId="119" xfId="51" applyNumberFormat="1" applyFont="1" applyFill="1" applyBorder="1" applyAlignment="1" applyProtection="1">
      <alignment vertical="center"/>
    </xf>
    <xf numFmtId="193" fontId="2" fillId="0" borderId="120" xfId="51" applyNumberFormat="1" applyFill="1" applyBorder="1" applyAlignment="1" applyProtection="1">
      <alignment horizontal="right" vertical="center" shrinkToFit="1"/>
    </xf>
    <xf numFmtId="0" fontId="2" fillId="0" borderId="55" xfId="51" applyBorder="1" applyProtection="1"/>
    <xf numFmtId="194" fontId="2" fillId="28" borderId="34" xfId="51" applyNumberFormat="1" applyFont="1" applyFill="1" applyBorder="1" applyAlignment="1" applyProtection="1">
      <alignment vertical="center" shrinkToFit="1"/>
    </xf>
    <xf numFmtId="0" fontId="2" fillId="28" borderId="29" xfId="51" applyFont="1" applyFill="1" applyBorder="1" applyAlignment="1" applyProtection="1">
      <alignment vertical="center"/>
    </xf>
    <xf numFmtId="0" fontId="2" fillId="28" borderId="1" xfId="51" applyFont="1" applyFill="1" applyBorder="1" applyAlignment="1" applyProtection="1">
      <alignment horizontal="center" vertical="center"/>
    </xf>
    <xf numFmtId="0" fontId="2" fillId="0" borderId="122" xfId="51" applyBorder="1" applyProtection="1"/>
    <xf numFmtId="194" fontId="2" fillId="28" borderId="30" xfId="51" applyNumberFormat="1" applyFont="1" applyFill="1" applyBorder="1" applyAlignment="1" applyProtection="1">
      <alignment vertical="center" shrinkToFit="1"/>
    </xf>
    <xf numFmtId="181" fontId="2" fillId="0" borderId="0" xfId="51" applyNumberFormat="1" applyFont="1" applyProtection="1"/>
    <xf numFmtId="0" fontId="2" fillId="0" borderId="0" xfId="51" applyAlignment="1" applyProtection="1">
      <alignment horizontal="left" indent="1"/>
    </xf>
    <xf numFmtId="0" fontId="2" fillId="0" borderId="0" xfId="51" applyAlignment="1" applyProtection="1">
      <alignment horizontal="left"/>
    </xf>
    <xf numFmtId="38" fontId="2" fillId="0" borderId="0" xfId="38" applyAlignment="1" applyProtection="1"/>
    <xf numFmtId="189" fontId="40" fillId="28" borderId="123" xfId="51" applyNumberFormat="1" applyFont="1" applyFill="1" applyBorder="1" applyAlignment="1" applyProtection="1">
      <alignment vertical="center" shrinkToFit="1"/>
    </xf>
    <xf numFmtId="189" fontId="40" fillId="28" borderId="124" xfId="51" applyNumberFormat="1" applyFont="1" applyFill="1" applyBorder="1" applyAlignment="1" applyProtection="1">
      <alignment vertical="center" shrinkToFit="1"/>
    </xf>
    <xf numFmtId="189" fontId="40" fillId="28" borderId="112" xfId="51" applyNumberFormat="1" applyFont="1" applyFill="1" applyBorder="1" applyAlignment="1" applyProtection="1">
      <alignment vertical="center" shrinkToFit="1"/>
    </xf>
    <xf numFmtId="189" fontId="40" fillId="28" borderId="93" xfId="51" applyNumberFormat="1" applyFont="1" applyFill="1" applyBorder="1" applyAlignment="1" applyProtection="1">
      <alignment vertical="center" shrinkToFit="1"/>
    </xf>
    <xf numFmtId="189" fontId="40" fillId="28" borderId="125" xfId="51" applyNumberFormat="1" applyFont="1" applyFill="1" applyBorder="1" applyAlignment="1" applyProtection="1">
      <alignment vertical="center" shrinkToFit="1"/>
    </xf>
    <xf numFmtId="189" fontId="40" fillId="28" borderId="28" xfId="51" applyNumberFormat="1" applyFont="1" applyFill="1" applyBorder="1" applyAlignment="1" applyProtection="1">
      <alignment vertical="center" shrinkToFit="1"/>
    </xf>
    <xf numFmtId="184" fontId="28" fillId="28" borderId="23" xfId="52" applyNumberFormat="1" applyFont="1" applyFill="1" applyBorder="1" applyAlignment="1" applyProtection="1">
      <alignment horizontal="center" vertical="center"/>
      <protection locked="0"/>
    </xf>
    <xf numFmtId="184" fontId="28" fillId="28" borderId="21" xfId="52" applyNumberFormat="1" applyFont="1" applyFill="1" applyBorder="1" applyAlignment="1" applyProtection="1">
      <alignment horizontal="center" vertical="center"/>
      <protection locked="0"/>
    </xf>
    <xf numFmtId="184" fontId="28" fillId="28" borderId="106" xfId="52" applyNumberFormat="1" applyFont="1" applyFill="1" applyBorder="1" applyAlignment="1" applyProtection="1">
      <alignment horizontal="center" vertical="center"/>
      <protection locked="0"/>
    </xf>
    <xf numFmtId="0" fontId="2" fillId="0" borderId="20" xfId="50" applyFont="1" applyBorder="1" applyAlignment="1" applyProtection="1">
      <alignment horizontal="left" indent="1"/>
      <protection locked="0"/>
    </xf>
    <xf numFmtId="186" fontId="0" fillId="0" borderId="0" xfId="0" applyNumberFormat="1">
      <alignment vertical="center"/>
    </xf>
    <xf numFmtId="186" fontId="0" fillId="0" borderId="46" xfId="0" applyNumberFormat="1" applyBorder="1">
      <alignment vertical="center"/>
    </xf>
    <xf numFmtId="2" fontId="0" fillId="0" borderId="0" xfId="0" applyNumberFormat="1">
      <alignment vertical="center"/>
    </xf>
    <xf numFmtId="2" fontId="0" fillId="0" borderId="46" xfId="0" applyNumberFormat="1" applyBorder="1">
      <alignment vertical="center"/>
    </xf>
    <xf numFmtId="0" fontId="32" fillId="0" borderId="92" xfId="48" applyFont="1" applyBorder="1" applyAlignment="1">
      <alignment vertical="center" wrapText="1"/>
    </xf>
    <xf numFmtId="0" fontId="32" fillId="0" borderId="126" xfId="0" applyFont="1" applyBorder="1" applyAlignment="1">
      <alignment horizontal="center"/>
    </xf>
    <xf numFmtId="0" fontId="32" fillId="0" borderId="127" xfId="0" applyFont="1" applyBorder="1" applyAlignment="1">
      <alignment horizontal="center"/>
    </xf>
    <xf numFmtId="176" fontId="32" fillId="0" borderId="127" xfId="0" applyNumberFormat="1" applyFont="1" applyBorder="1" applyAlignment="1">
      <alignment horizontal="center"/>
    </xf>
    <xf numFmtId="0" fontId="32" fillId="0" borderId="128" xfId="0" applyFont="1" applyBorder="1" applyAlignment="1">
      <alignment horizontal="center"/>
    </xf>
    <xf numFmtId="180" fontId="40" fillId="28" borderId="100" xfId="52" applyNumberFormat="1" applyFont="1" applyFill="1" applyBorder="1" applyAlignment="1" applyProtection="1">
      <alignment horizontal="center" vertical="center"/>
      <protection hidden="1"/>
    </xf>
    <xf numFmtId="180" fontId="40" fillId="28" borderId="83" xfId="52" applyNumberFormat="1" applyFont="1" applyFill="1" applyBorder="1" applyAlignment="1" applyProtection="1">
      <alignment horizontal="center" vertical="center"/>
      <protection hidden="1"/>
    </xf>
    <xf numFmtId="181" fontId="26" fillId="0" borderId="0" xfId="38" applyNumberFormat="1" applyFont="1" applyAlignment="1" applyProtection="1">
      <alignment horizontal="right" vertical="center"/>
      <protection hidden="1"/>
    </xf>
    <xf numFmtId="0" fontId="76" fillId="0" borderId="0" xfId="0" applyFont="1">
      <alignment vertical="center"/>
    </xf>
    <xf numFmtId="0" fontId="78" fillId="0" borderId="0" xfId="50" applyFont="1" applyBorder="1" applyAlignment="1">
      <alignment vertical="top"/>
    </xf>
    <xf numFmtId="0" fontId="78" fillId="0" borderId="0" xfId="50" applyFont="1" applyBorder="1" applyAlignment="1" applyProtection="1">
      <alignment vertical="top"/>
      <protection hidden="1"/>
    </xf>
    <xf numFmtId="0" fontId="2" fillId="0" borderId="0" xfId="50" applyBorder="1" applyAlignment="1" applyProtection="1">
      <alignment vertical="top"/>
      <protection hidden="1"/>
    </xf>
    <xf numFmtId="0" fontId="26" fillId="0" borderId="0" xfId="50" applyFont="1" applyAlignment="1" applyProtection="1">
      <alignment wrapText="1"/>
      <protection hidden="1"/>
    </xf>
    <xf numFmtId="0" fontId="2" fillId="0" borderId="0" xfId="50" applyAlignment="1" applyProtection="1">
      <alignment wrapText="1"/>
      <protection hidden="1"/>
    </xf>
    <xf numFmtId="201" fontId="0" fillId="0" borderId="0" xfId="0" applyNumberFormat="1" applyAlignment="1">
      <alignment vertical="center" wrapText="1"/>
    </xf>
    <xf numFmtId="0" fontId="0" fillId="0" borderId="0" xfId="0" applyAlignment="1">
      <alignment vertical="center" wrapText="1"/>
    </xf>
    <xf numFmtId="201" fontId="0" fillId="0" borderId="46" xfId="0" applyNumberFormat="1" applyBorder="1" applyAlignment="1">
      <alignment vertical="center" wrapText="1"/>
    </xf>
    <xf numFmtId="0" fontId="0" fillId="0" borderId="46" xfId="0" applyBorder="1" applyAlignment="1">
      <alignment vertical="center" wrapText="1"/>
    </xf>
    <xf numFmtId="191" fontId="49" fillId="28" borderId="115" xfId="51" applyNumberFormat="1" applyFont="1" applyFill="1" applyBorder="1" applyAlignment="1" applyProtection="1">
      <alignment horizontal="center" vertical="center" shrinkToFit="1"/>
      <protection locked="0"/>
    </xf>
    <xf numFmtId="191" fontId="49" fillId="28" borderId="118" xfId="51" applyNumberFormat="1" applyFont="1" applyFill="1" applyBorder="1" applyAlignment="1" applyProtection="1">
      <alignment horizontal="center" vertical="center" shrinkToFit="1"/>
      <protection locked="0"/>
    </xf>
    <xf numFmtId="191" fontId="80" fillId="28" borderId="121" xfId="51" quotePrefix="1" applyNumberFormat="1" applyFont="1" applyFill="1" applyBorder="1" applyAlignment="1" applyProtection="1">
      <alignment horizontal="center" vertical="center" shrinkToFit="1"/>
      <protection locked="0"/>
    </xf>
    <xf numFmtId="191" fontId="80" fillId="28" borderId="32" xfId="51" quotePrefix="1" applyNumberFormat="1" applyFont="1" applyFill="1" applyBorder="1" applyAlignment="1" applyProtection="1">
      <alignment horizontal="center" vertical="center" shrinkToFit="1"/>
      <protection locked="0"/>
    </xf>
    <xf numFmtId="181" fontId="2" fillId="0" borderId="0" xfId="51" applyNumberFormat="1" applyProtection="1"/>
    <xf numFmtId="182" fontId="30" fillId="28" borderId="130" xfId="52" applyNumberFormat="1" applyFont="1" applyFill="1" applyBorder="1" applyAlignment="1" applyProtection="1">
      <alignment horizontal="right" vertical="center" shrinkToFit="1"/>
      <protection hidden="1"/>
    </xf>
    <xf numFmtId="182" fontId="30" fillId="28" borderId="113" xfId="52" applyNumberFormat="1" applyFont="1" applyFill="1" applyBorder="1" applyAlignment="1" applyProtection="1">
      <alignment horizontal="right" vertical="center" shrinkToFit="1"/>
      <protection hidden="1"/>
    </xf>
    <xf numFmtId="182" fontId="30" fillId="28" borderId="131" xfId="52" applyNumberFormat="1" applyFont="1" applyFill="1" applyBorder="1" applyAlignment="1" applyProtection="1">
      <alignment horizontal="right" vertical="center" shrinkToFit="1"/>
      <protection hidden="1"/>
    </xf>
    <xf numFmtId="0" fontId="2" fillId="0" borderId="0" xfId="48" applyFont="1">
      <alignment vertical="center"/>
    </xf>
    <xf numFmtId="0" fontId="0" fillId="0" borderId="0" xfId="51" applyFont="1" applyProtection="1"/>
    <xf numFmtId="0" fontId="0" fillId="0" borderId="0" xfId="0" applyAlignment="1">
      <alignment horizontal="right" vertical="center"/>
    </xf>
    <xf numFmtId="0" fontId="2" fillId="24" borderId="88" xfId="51" applyFill="1" applyBorder="1" applyAlignment="1" applyProtection="1">
      <alignment horizontal="center" vertical="center"/>
      <protection hidden="1"/>
    </xf>
    <xf numFmtId="0" fontId="2" fillId="28" borderId="2" xfId="51" applyFont="1" applyFill="1" applyBorder="1" applyAlignment="1" applyProtection="1">
      <alignment vertical="center"/>
      <protection hidden="1"/>
    </xf>
    <xf numFmtId="0" fontId="2" fillId="28" borderId="76" xfId="51" applyFont="1" applyFill="1" applyBorder="1" applyAlignment="1" applyProtection="1">
      <alignment horizontal="center" vertical="center"/>
      <protection hidden="1"/>
    </xf>
    <xf numFmtId="0" fontId="2" fillId="28" borderId="0" xfId="51" applyFont="1" applyFill="1" applyBorder="1" applyAlignment="1" applyProtection="1">
      <alignment vertical="center"/>
      <protection hidden="1"/>
    </xf>
    <xf numFmtId="0" fontId="2" fillId="0" borderId="0" xfId="51" applyAlignment="1">
      <alignment vertical="center"/>
    </xf>
    <xf numFmtId="0" fontId="0" fillId="0" borderId="0" xfId="50" applyFont="1" applyProtection="1">
      <protection hidden="1"/>
    </xf>
    <xf numFmtId="0" fontId="0" fillId="0" borderId="20" xfId="50" applyFont="1" applyBorder="1" applyAlignment="1" applyProtection="1">
      <alignment horizontal="left" indent="1"/>
      <protection locked="0"/>
    </xf>
    <xf numFmtId="0" fontId="2" fillId="0" borderId="31" xfId="51" applyFont="1" applyFill="1" applyBorder="1" applyAlignment="1" applyProtection="1">
      <alignment vertical="center"/>
      <protection hidden="1"/>
    </xf>
    <xf numFmtId="0" fontId="85" fillId="24" borderId="88" xfId="51" applyFont="1" applyFill="1" applyBorder="1" applyAlignment="1" applyProtection="1">
      <alignment horizontal="center" vertical="center"/>
      <protection hidden="1"/>
    </xf>
    <xf numFmtId="0" fontId="0" fillId="24" borderId="56" xfId="51" applyFont="1" applyFill="1" applyBorder="1" applyAlignment="1" applyProtection="1">
      <alignment horizontal="center" vertical="center"/>
      <protection hidden="1"/>
    </xf>
    <xf numFmtId="202" fontId="49" fillId="28" borderId="121" xfId="51" applyNumberFormat="1" applyFont="1" applyFill="1" applyBorder="1" applyAlignment="1" applyProtection="1">
      <alignment horizontal="center" vertical="center" shrinkToFit="1"/>
      <protection locked="0"/>
    </xf>
    <xf numFmtId="38" fontId="86" fillId="28" borderId="161" xfId="38" applyFont="1" applyFill="1" applyBorder="1" applyAlignment="1" applyProtection="1">
      <alignment vertical="center"/>
      <protection locked="0"/>
    </xf>
    <xf numFmtId="191" fontId="2" fillId="0" borderId="0" xfId="51" applyNumberFormat="1" applyBorder="1" applyAlignment="1" applyProtection="1">
      <alignment horizontal="center" vertical="center"/>
      <protection hidden="1"/>
    </xf>
    <xf numFmtId="0" fontId="2" fillId="0" borderId="0" xfId="51" applyBorder="1" applyAlignment="1" applyProtection="1">
      <alignment horizontal="center" vertical="center"/>
      <protection hidden="1"/>
    </xf>
    <xf numFmtId="194" fontId="85" fillId="0" borderId="54" xfId="46" applyNumberFormat="1" applyFont="1" applyFill="1" applyBorder="1" applyAlignment="1" applyProtection="1">
      <alignment vertical="center" shrinkToFit="1"/>
      <protection hidden="1"/>
    </xf>
    <xf numFmtId="194" fontId="85" fillId="0" borderId="146" xfId="46" applyNumberFormat="1" applyFont="1" applyFill="1" applyBorder="1" applyAlignment="1" applyProtection="1">
      <alignment vertical="center" shrinkToFit="1"/>
      <protection hidden="1"/>
    </xf>
    <xf numFmtId="194" fontId="85" fillId="0" borderId="35" xfId="46" applyNumberFormat="1" applyFont="1" applyFill="1" applyBorder="1" applyAlignment="1" applyProtection="1">
      <alignment vertical="center" shrinkToFit="1"/>
      <protection hidden="1"/>
    </xf>
    <xf numFmtId="0" fontId="1" fillId="28" borderId="0" xfId="51" applyFont="1" applyFill="1" applyAlignment="1" applyProtection="1">
      <alignment vertical="center"/>
      <protection hidden="1"/>
    </xf>
    <xf numFmtId="0" fontId="1" fillId="28" borderId="0" xfId="51" quotePrefix="1" applyFont="1" applyFill="1" applyBorder="1" applyAlignment="1" applyProtection="1">
      <alignment vertical="center"/>
      <protection hidden="1"/>
    </xf>
    <xf numFmtId="0" fontId="1" fillId="28" borderId="0" xfId="51" applyFont="1" applyFill="1" applyBorder="1" applyAlignment="1" applyProtection="1">
      <alignment vertical="center"/>
      <protection hidden="1"/>
    </xf>
    <xf numFmtId="0" fontId="1" fillId="28" borderId="76" xfId="51" applyFont="1" applyFill="1" applyBorder="1" applyAlignment="1" applyProtection="1">
      <alignment horizontal="center" vertical="center"/>
      <protection hidden="1"/>
    </xf>
    <xf numFmtId="0" fontId="2" fillId="24" borderId="58" xfId="51" applyFont="1" applyFill="1" applyBorder="1" applyAlignment="1" applyProtection="1">
      <alignment horizontal="center" vertical="center"/>
      <protection hidden="1"/>
    </xf>
    <xf numFmtId="191" fontId="80" fillId="28" borderId="54" xfId="51" quotePrefix="1" applyNumberFormat="1" applyFont="1" applyFill="1" applyBorder="1" applyAlignment="1" applyProtection="1">
      <alignment horizontal="center" vertical="center" shrinkToFit="1"/>
      <protection locked="0"/>
    </xf>
    <xf numFmtId="0" fontId="29" fillId="0" borderId="64" xfId="51" applyNumberFormat="1" applyFont="1" applyBorder="1" applyAlignment="1" applyProtection="1">
      <alignment horizontal="center" vertical="center" shrinkToFit="1"/>
      <protection hidden="1"/>
    </xf>
    <xf numFmtId="0" fontId="0" fillId="0" borderId="12" xfId="50" applyFont="1" applyBorder="1" applyAlignment="1"/>
    <xf numFmtId="0" fontId="0" fillId="27" borderId="12" xfId="50" applyFont="1" applyFill="1" applyBorder="1" applyAlignment="1"/>
    <xf numFmtId="0" fontId="49" fillId="0" borderId="116" xfId="51" applyFont="1" applyFill="1" applyBorder="1" applyAlignment="1" applyProtection="1">
      <alignment horizontal="center" vertical="center" shrinkToFit="1"/>
    </xf>
    <xf numFmtId="38" fontId="86" fillId="28" borderId="108" xfId="38" applyFont="1" applyFill="1" applyBorder="1" applyAlignment="1" applyProtection="1">
      <alignment vertical="center"/>
      <protection locked="0"/>
    </xf>
    <xf numFmtId="0" fontId="2" fillId="24" borderId="56" xfId="51" applyFill="1" applyBorder="1" applyAlignment="1" applyProtection="1">
      <alignment vertical="center"/>
      <protection hidden="1"/>
    </xf>
    <xf numFmtId="0" fontId="2" fillId="24" borderId="77" xfId="51" applyFill="1" applyBorder="1" applyAlignment="1" applyProtection="1">
      <alignment vertical="center"/>
      <protection hidden="1"/>
    </xf>
    <xf numFmtId="0" fontId="2" fillId="24" borderId="87" xfId="51" applyFill="1" applyBorder="1" applyAlignment="1" applyProtection="1">
      <alignment vertical="center"/>
      <protection hidden="1"/>
    </xf>
    <xf numFmtId="0" fontId="2" fillId="24" borderId="114" xfId="51" applyFill="1" applyBorder="1" applyAlignment="1" applyProtection="1">
      <alignment vertical="center"/>
      <protection hidden="1"/>
    </xf>
    <xf numFmtId="0" fontId="0" fillId="24" borderId="88" xfId="51" applyFont="1" applyFill="1" applyBorder="1" applyAlignment="1" applyProtection="1">
      <alignment horizontal="center" vertical="center"/>
      <protection hidden="1"/>
    </xf>
    <xf numFmtId="0" fontId="2" fillId="0" borderId="0" xfId="54" applyFont="1">
      <alignment vertical="center"/>
    </xf>
    <xf numFmtId="0" fontId="40" fillId="0" borderId="0" xfId="54" applyFont="1">
      <alignment vertical="center"/>
    </xf>
    <xf numFmtId="0" fontId="2" fillId="0" borderId="0" xfId="54">
      <alignment vertical="center"/>
    </xf>
    <xf numFmtId="0" fontId="88" fillId="0" borderId="0" xfId="0" applyFont="1">
      <alignment vertical="center"/>
    </xf>
    <xf numFmtId="0" fontId="28" fillId="24" borderId="90" xfId="52" applyFont="1" applyFill="1" applyBorder="1" applyAlignment="1" applyProtection="1">
      <alignment horizontal="center" vertical="center" wrapText="1"/>
      <protection hidden="1"/>
    </xf>
    <xf numFmtId="0" fontId="25" fillId="0" borderId="0" xfId="52" applyFont="1" applyAlignment="1" applyProtection="1">
      <alignment vertical="center"/>
      <protection hidden="1"/>
    </xf>
    <xf numFmtId="0" fontId="2" fillId="0" borderId="31" xfId="0" applyFont="1" applyFill="1" applyBorder="1" applyAlignment="1" applyProtection="1">
      <alignment vertical="center"/>
      <protection hidden="1"/>
    </xf>
    <xf numFmtId="0" fontId="2" fillId="24" borderId="79" xfId="0" applyFont="1" applyFill="1" applyBorder="1" applyAlignment="1" applyProtection="1">
      <alignment vertical="center"/>
      <protection hidden="1"/>
    </xf>
    <xf numFmtId="0" fontId="2" fillId="24" borderId="82" xfId="0" applyFont="1" applyFill="1" applyBorder="1" applyAlignment="1" applyProtection="1">
      <alignment vertical="center"/>
      <protection hidden="1"/>
    </xf>
    <xf numFmtId="0" fontId="2" fillId="24" borderId="84" xfId="0" applyFont="1" applyFill="1" applyBorder="1" applyAlignment="1" applyProtection="1">
      <alignment vertical="center"/>
      <protection hidden="1"/>
    </xf>
    <xf numFmtId="180" fontId="40" fillId="28" borderId="164" xfId="52" applyNumberFormat="1" applyFont="1" applyFill="1" applyBorder="1" applyAlignment="1" applyProtection="1">
      <alignment horizontal="right" vertical="center" shrinkToFit="1"/>
      <protection hidden="1"/>
    </xf>
    <xf numFmtId="49" fontId="28" fillId="28" borderId="59" xfId="0" applyNumberFormat="1" applyFont="1" applyFill="1" applyBorder="1" applyAlignment="1" applyProtection="1">
      <alignment vertical="center" shrinkToFit="1"/>
      <protection locked="0"/>
    </xf>
    <xf numFmtId="49" fontId="28" fillId="28" borderId="0" xfId="0" applyNumberFormat="1" applyFont="1" applyFill="1" applyBorder="1" applyAlignment="1" applyProtection="1">
      <alignment vertical="center" shrinkToFit="1"/>
      <protection locked="0"/>
    </xf>
    <xf numFmtId="49" fontId="28" fillId="28" borderId="33" xfId="0" applyNumberFormat="1" applyFont="1" applyFill="1" applyBorder="1" applyAlignment="1" applyProtection="1">
      <alignment vertical="center" shrinkToFit="1"/>
      <protection locked="0"/>
    </xf>
    <xf numFmtId="0" fontId="28" fillId="24" borderId="61" xfId="51" applyFont="1" applyFill="1" applyBorder="1" applyAlignment="1" applyProtection="1">
      <alignment horizontal="center" vertical="center" wrapText="1"/>
    </xf>
    <xf numFmtId="0" fontId="28" fillId="24" borderId="61" xfId="52" applyFont="1" applyFill="1" applyBorder="1" applyAlignment="1" applyProtection="1">
      <alignment horizontal="center" vertical="center"/>
      <protection hidden="1"/>
    </xf>
    <xf numFmtId="180" fontId="40" fillId="28" borderId="26" xfId="52" applyNumberFormat="1" applyFont="1" applyFill="1" applyBorder="1" applyAlignment="1" applyProtection="1">
      <alignment horizontal="center" vertical="center"/>
      <protection locked="0"/>
    </xf>
    <xf numFmtId="180" fontId="40" fillId="28" borderId="124" xfId="52" applyNumberFormat="1" applyFont="1" applyFill="1" applyBorder="1" applyAlignment="1" applyProtection="1">
      <alignment horizontal="center" vertical="center"/>
      <protection locked="0"/>
    </xf>
    <xf numFmtId="180" fontId="40" fillId="28" borderId="129" xfId="52" applyNumberFormat="1" applyFont="1" applyFill="1" applyBorder="1" applyAlignment="1" applyProtection="1">
      <alignment horizontal="center" vertical="center" shrinkToFit="1"/>
      <protection locked="0"/>
    </xf>
    <xf numFmtId="180" fontId="40" fillId="28" borderId="17" xfId="52" applyNumberFormat="1" applyFont="1" applyFill="1" applyBorder="1" applyAlignment="1" applyProtection="1">
      <alignment horizontal="center" vertical="center"/>
      <protection locked="0"/>
    </xf>
    <xf numFmtId="180" fontId="40" fillId="28" borderId="19" xfId="52" applyNumberFormat="1" applyFont="1" applyFill="1" applyBorder="1" applyAlignment="1" applyProtection="1">
      <alignment horizontal="center" vertical="center"/>
      <protection locked="0"/>
    </xf>
    <xf numFmtId="180" fontId="40" fillId="28" borderId="105" xfId="52" applyNumberFormat="1" applyFont="1" applyFill="1" applyBorder="1" applyAlignment="1" applyProtection="1">
      <alignment horizontal="center" vertical="center" shrinkToFit="1"/>
      <protection locked="0"/>
    </xf>
    <xf numFmtId="189" fontId="40" fillId="28" borderId="21" xfId="52" applyNumberFormat="1" applyFont="1" applyFill="1" applyBorder="1" applyAlignment="1" applyProtection="1">
      <alignment horizontal="center" vertical="center" shrinkToFit="1"/>
      <protection hidden="1"/>
    </xf>
    <xf numFmtId="189" fontId="40" fillId="28" borderId="23" xfId="52" applyNumberFormat="1" applyFont="1" applyFill="1" applyBorder="1" applyAlignment="1" applyProtection="1">
      <alignment horizontal="center" vertical="center" shrinkToFit="1"/>
      <protection hidden="1"/>
    </xf>
    <xf numFmtId="189" fontId="40" fillId="28" borderId="106" xfId="52" applyNumberFormat="1" applyFont="1" applyFill="1" applyBorder="1" applyAlignment="1" applyProtection="1">
      <alignment horizontal="center" vertical="center" shrinkToFit="1"/>
      <protection hidden="1"/>
    </xf>
    <xf numFmtId="180" fontId="40" fillId="28" borderId="145" xfId="52" applyNumberFormat="1" applyFont="1" applyFill="1" applyBorder="1" applyAlignment="1" applyProtection="1">
      <alignment horizontal="right" vertical="center" indent="1" shrinkToFit="1"/>
      <protection hidden="1"/>
    </xf>
    <xf numFmtId="180" fontId="40" fillId="28" borderId="138" xfId="52" applyNumberFormat="1" applyFont="1" applyFill="1" applyBorder="1" applyAlignment="1" applyProtection="1">
      <alignment horizontal="right" vertical="center" indent="1" shrinkToFit="1"/>
      <protection hidden="1"/>
    </xf>
    <xf numFmtId="180" fontId="40" fillId="28" borderId="144" xfId="52" applyNumberFormat="1" applyFont="1" applyFill="1" applyBorder="1" applyAlignment="1" applyProtection="1">
      <alignment horizontal="right" vertical="center" indent="1" shrinkToFit="1"/>
      <protection hidden="1"/>
    </xf>
    <xf numFmtId="0" fontId="28" fillId="24" borderId="62" xfId="52" applyFont="1" applyFill="1" applyBorder="1" applyAlignment="1" applyProtection="1">
      <alignment horizontal="center" vertical="center" shrinkToFit="1"/>
      <protection hidden="1"/>
    </xf>
    <xf numFmtId="180" fontId="40" fillId="28" borderId="91" xfId="52" applyNumberFormat="1" applyFont="1" applyFill="1" applyBorder="1" applyAlignment="1" applyProtection="1">
      <alignment horizontal="right" vertical="center" indent="1"/>
      <protection locked="0"/>
    </xf>
    <xf numFmtId="180" fontId="40" fillId="28" borderId="28" xfId="52" applyNumberFormat="1" applyFont="1" applyFill="1" applyBorder="1" applyAlignment="1" applyProtection="1">
      <alignment horizontal="right" vertical="center" indent="1"/>
      <protection locked="0"/>
    </xf>
    <xf numFmtId="180" fontId="40" fillId="28" borderId="107" xfId="52" applyNumberFormat="1" applyFont="1" applyFill="1" applyBorder="1" applyAlignment="1" applyProtection="1">
      <alignment horizontal="right" vertical="center" indent="1" shrinkToFit="1"/>
      <protection locked="0"/>
    </xf>
    <xf numFmtId="180" fontId="40" fillId="28" borderId="21" xfId="52" applyNumberFormat="1" applyFont="1" applyFill="1" applyBorder="1" applyAlignment="1" applyProtection="1">
      <alignment horizontal="right" vertical="center" indent="1"/>
      <protection locked="0"/>
    </xf>
    <xf numFmtId="180" fontId="40" fillId="28" borderId="23" xfId="52" applyNumberFormat="1" applyFont="1" applyFill="1" applyBorder="1" applyAlignment="1" applyProtection="1">
      <alignment horizontal="right" vertical="center" indent="1"/>
      <protection locked="0"/>
    </xf>
    <xf numFmtId="180" fontId="40" fillId="28" borderId="106" xfId="52" applyNumberFormat="1" applyFont="1" applyFill="1" applyBorder="1" applyAlignment="1" applyProtection="1">
      <alignment horizontal="right" vertical="center" indent="1"/>
      <protection locked="0"/>
    </xf>
    <xf numFmtId="0" fontId="2" fillId="24" borderId="79" xfId="0" applyFont="1" applyFill="1" applyBorder="1" applyAlignment="1" applyProtection="1">
      <alignment vertical="center"/>
    </xf>
    <xf numFmtId="0" fontId="2" fillId="24" borderId="132" xfId="0" applyFont="1" applyFill="1" applyBorder="1" applyAlignment="1" applyProtection="1">
      <alignment vertical="center"/>
    </xf>
    <xf numFmtId="0" fontId="2" fillId="24" borderId="82" xfId="0" applyFont="1" applyFill="1" applyBorder="1" applyAlignment="1" applyProtection="1">
      <alignment vertical="center"/>
    </xf>
    <xf numFmtId="0" fontId="2" fillId="24" borderId="135" xfId="0" applyFont="1" applyFill="1" applyBorder="1" applyAlignment="1" applyProtection="1">
      <alignment vertical="center"/>
    </xf>
    <xf numFmtId="0" fontId="2" fillId="24" borderId="84" xfId="0" applyFont="1" applyFill="1" applyBorder="1" applyAlignment="1" applyProtection="1">
      <alignment vertical="center"/>
    </xf>
    <xf numFmtId="0" fontId="2" fillId="24" borderId="136" xfId="0" applyFont="1" applyFill="1" applyBorder="1" applyAlignment="1" applyProtection="1">
      <alignment vertical="center"/>
    </xf>
    <xf numFmtId="20" fontId="49" fillId="28" borderId="139" xfId="51" applyNumberFormat="1" applyFont="1" applyFill="1" applyBorder="1" applyAlignment="1" applyProtection="1">
      <alignment horizontal="right" vertical="center" shrinkToFit="1"/>
    </xf>
    <xf numFmtId="0" fontId="28" fillId="24" borderId="128" xfId="52" applyFont="1" applyFill="1" applyBorder="1" applyAlignment="1" applyProtection="1">
      <alignment horizontal="center" vertical="center" wrapText="1"/>
      <protection hidden="1"/>
    </xf>
    <xf numFmtId="0" fontId="28" fillId="24" borderId="167" xfId="52" applyFont="1" applyFill="1" applyBorder="1" applyAlignment="1" applyProtection="1">
      <alignment horizontal="center" vertical="center"/>
      <protection hidden="1"/>
    </xf>
    <xf numFmtId="0" fontId="28" fillId="24" borderId="168" xfId="52" applyFont="1" applyFill="1" applyBorder="1" applyAlignment="1" applyProtection="1">
      <alignment horizontal="center" vertical="center"/>
      <protection hidden="1"/>
    </xf>
    <xf numFmtId="0" fontId="28" fillId="24" borderId="168" xfId="52" applyFont="1" applyFill="1" applyBorder="1" applyAlignment="1" applyProtection="1">
      <alignment horizontal="center" vertical="center" shrinkToFit="1"/>
      <protection hidden="1"/>
    </xf>
    <xf numFmtId="0" fontId="28" fillId="24" borderId="169" xfId="52" applyFont="1" applyFill="1" applyBorder="1" applyAlignment="1" applyProtection="1">
      <alignment horizontal="center" vertical="center" shrinkToFit="1"/>
      <protection hidden="1"/>
    </xf>
    <xf numFmtId="55" fontId="55" fillId="0" borderId="0" xfId="51" applyNumberFormat="1" applyFont="1" applyAlignment="1" applyProtection="1">
      <alignment horizontal="center" wrapText="1"/>
      <protection hidden="1"/>
    </xf>
    <xf numFmtId="204" fontId="57" fillId="0" borderId="0" xfId="51" applyNumberFormat="1" applyFont="1" applyBorder="1" applyAlignment="1" applyProtection="1">
      <alignment horizontal="center" vertical="center" shrinkToFit="1"/>
      <protection hidden="1"/>
    </xf>
    <xf numFmtId="203" fontId="2" fillId="0" borderId="19" xfId="50" applyNumberFormat="1" applyBorder="1" applyProtection="1">
      <protection locked="0"/>
    </xf>
    <xf numFmtId="0" fontId="2" fillId="28" borderId="0" xfId="51" applyFont="1" applyFill="1" applyBorder="1" applyAlignment="1" applyProtection="1">
      <alignment vertical="center"/>
      <protection hidden="1"/>
    </xf>
    <xf numFmtId="0" fontId="0" fillId="0" borderId="0" xfId="54" applyFont="1">
      <alignment vertical="center"/>
    </xf>
    <xf numFmtId="0" fontId="0" fillId="0" borderId="0" xfId="0" applyFont="1" applyProtection="1">
      <alignment vertical="center"/>
    </xf>
    <xf numFmtId="0" fontId="0" fillId="0" borderId="0" xfId="51" applyFont="1" applyAlignment="1" applyProtection="1"/>
    <xf numFmtId="0" fontId="0" fillId="0" borderId="0" xfId="49" applyFont="1" applyProtection="1">
      <alignment vertical="center"/>
    </xf>
    <xf numFmtId="201" fontId="2" fillId="0" borderId="19" xfId="50" applyNumberFormat="1" applyBorder="1" applyProtection="1">
      <protection locked="0"/>
    </xf>
    <xf numFmtId="186" fontId="0" fillId="0" borderId="171" xfId="0" applyNumberFormat="1" applyBorder="1">
      <alignment vertical="center"/>
    </xf>
    <xf numFmtId="2" fontId="0" fillId="0" borderId="171" xfId="0" applyNumberFormat="1" applyBorder="1">
      <alignment vertical="center"/>
    </xf>
    <xf numFmtId="201" fontId="0" fillId="0" borderId="171" xfId="0" applyNumberFormat="1" applyBorder="1" applyAlignment="1">
      <alignment vertical="center" wrapText="1"/>
    </xf>
    <xf numFmtId="0" fontId="0" fillId="0" borderId="171" xfId="0" applyBorder="1" applyAlignment="1">
      <alignment vertical="center" wrapText="1"/>
    </xf>
    <xf numFmtId="186" fontId="0" fillId="0" borderId="100" xfId="0" applyNumberFormat="1" applyBorder="1">
      <alignment vertical="center"/>
    </xf>
    <xf numFmtId="2" fontId="0" fillId="0" borderId="100" xfId="0" applyNumberFormat="1" applyBorder="1">
      <alignment vertical="center"/>
    </xf>
    <xf numFmtId="201" fontId="0" fillId="0" borderId="100" xfId="0" applyNumberFormat="1" applyBorder="1" applyAlignment="1">
      <alignment vertical="center" wrapText="1"/>
    </xf>
    <xf numFmtId="0" fontId="0" fillId="0" borderId="100" xfId="0" applyBorder="1" applyAlignment="1">
      <alignment vertical="center" wrapText="1"/>
    </xf>
    <xf numFmtId="2" fontId="0" fillId="0" borderId="100" xfId="0" quotePrefix="1" applyNumberFormat="1" applyBorder="1">
      <alignment vertical="center"/>
    </xf>
    <xf numFmtId="38" fontId="0" fillId="0" borderId="100" xfId="38" applyFont="1" applyBorder="1" applyAlignment="1">
      <alignment vertical="center" wrapText="1"/>
    </xf>
    <xf numFmtId="186" fontId="0" fillId="0" borderId="170" xfId="0" applyNumberFormat="1" applyBorder="1">
      <alignment vertical="center"/>
    </xf>
    <xf numFmtId="201" fontId="0" fillId="0" borderId="170" xfId="0" applyNumberFormat="1" applyBorder="1" applyAlignment="1">
      <alignment vertical="center" wrapText="1"/>
    </xf>
    <xf numFmtId="0" fontId="0" fillId="0" borderId="170" xfId="0" applyBorder="1" applyAlignment="1">
      <alignment vertical="center" wrapText="1"/>
    </xf>
    <xf numFmtId="38" fontId="2" fillId="28" borderId="0" xfId="38" applyFont="1" applyFill="1" applyAlignment="1">
      <alignment vertical="center"/>
    </xf>
    <xf numFmtId="0" fontId="2" fillId="0" borderId="2" xfId="51" applyFont="1" applyFill="1" applyBorder="1" applyAlignment="1" applyProtection="1">
      <alignment horizontal="center" vertical="center"/>
      <protection hidden="1"/>
    </xf>
    <xf numFmtId="0" fontId="2" fillId="24" borderId="29" xfId="51" applyFont="1" applyFill="1" applyBorder="1" applyAlignment="1" applyProtection="1">
      <alignment horizontal="center" vertical="center"/>
      <protection hidden="1"/>
    </xf>
    <xf numFmtId="0" fontId="0" fillId="24" borderId="122" xfId="51" applyFont="1" applyFill="1" applyBorder="1" applyAlignment="1" applyProtection="1">
      <alignment horizontal="center" vertical="center"/>
      <protection hidden="1"/>
    </xf>
    <xf numFmtId="38" fontId="86" fillId="28" borderId="161" xfId="38" applyFont="1" applyFill="1" applyBorder="1" applyAlignment="1" applyProtection="1">
      <alignment vertical="center" shrinkToFit="1"/>
      <protection locked="0"/>
    </xf>
    <xf numFmtId="38" fontId="0" fillId="28" borderId="12" xfId="38" applyFont="1" applyFill="1" applyBorder="1" applyAlignment="1">
      <alignment vertical="center"/>
    </xf>
    <xf numFmtId="38" fontId="2" fillId="28" borderId="12" xfId="38" applyFont="1" applyFill="1" applyBorder="1" applyAlignment="1">
      <alignment vertical="center"/>
    </xf>
    <xf numFmtId="38" fontId="2" fillId="28" borderId="0" xfId="38" applyFont="1" applyFill="1" applyBorder="1" applyAlignment="1">
      <alignment vertical="center"/>
    </xf>
    <xf numFmtId="14" fontId="2" fillId="28" borderId="12" xfId="51" applyNumberFormat="1" applyFont="1" applyFill="1" applyBorder="1" applyAlignment="1">
      <alignment vertical="center"/>
    </xf>
    <xf numFmtId="0" fontId="2" fillId="28" borderId="12" xfId="51" applyFont="1" applyFill="1" applyBorder="1" applyAlignment="1">
      <alignment vertical="center"/>
    </xf>
    <xf numFmtId="49" fontId="0" fillId="0" borderId="12" xfId="51" applyNumberFormat="1" applyFont="1" applyBorder="1" applyAlignment="1">
      <alignment vertical="center"/>
    </xf>
    <xf numFmtId="0" fontId="2" fillId="0" borderId="12" xfId="51" applyBorder="1" applyAlignment="1">
      <alignment vertical="center"/>
    </xf>
    <xf numFmtId="14" fontId="2" fillId="0" borderId="0" xfId="51" applyNumberFormat="1" applyProtection="1">
      <protection hidden="1"/>
    </xf>
    <xf numFmtId="0" fontId="0" fillId="0" borderId="0" xfId="51" applyFont="1" applyProtection="1">
      <protection hidden="1"/>
    </xf>
    <xf numFmtId="56" fontId="2" fillId="0" borderId="0" xfId="51" applyNumberFormat="1" applyProtection="1">
      <protection hidden="1"/>
    </xf>
    <xf numFmtId="0" fontId="2" fillId="28" borderId="2" xfId="51" applyFont="1" applyFill="1" applyBorder="1" applyAlignment="1" applyProtection="1">
      <alignment horizontal="center" vertical="center"/>
      <protection hidden="1"/>
    </xf>
    <xf numFmtId="0" fontId="0" fillId="24" borderId="174" xfId="51" applyFont="1" applyFill="1" applyBorder="1" applyAlignment="1" applyProtection="1">
      <alignment horizontal="center" vertical="center"/>
      <protection hidden="1"/>
    </xf>
    <xf numFmtId="195" fontId="54" fillId="28" borderId="2" xfId="51" applyNumberFormat="1" applyFont="1" applyFill="1" applyBorder="1" applyAlignment="1" applyProtection="1">
      <alignment horizontal="right" vertical="center"/>
      <protection locked="0"/>
    </xf>
    <xf numFmtId="194" fontId="2" fillId="0" borderId="163" xfId="51" applyNumberFormat="1" applyBorder="1" applyAlignment="1" applyProtection="1">
      <alignment horizontal="right" vertical="center" shrinkToFit="1"/>
      <protection hidden="1"/>
    </xf>
    <xf numFmtId="194" fontId="2" fillId="0" borderId="149" xfId="51" applyNumberFormat="1" applyBorder="1" applyAlignment="1" applyProtection="1">
      <alignment horizontal="right" vertical="center" shrinkToFit="1"/>
      <protection hidden="1"/>
    </xf>
    <xf numFmtId="194" fontId="2" fillId="0" borderId="37" xfId="51" applyNumberFormat="1" applyBorder="1" applyAlignment="1" applyProtection="1">
      <alignment horizontal="right" vertical="center" shrinkToFit="1"/>
      <protection hidden="1"/>
    </xf>
    <xf numFmtId="0" fontId="0" fillId="24" borderId="173" xfId="51" applyFont="1" applyFill="1" applyBorder="1" applyAlignment="1" applyProtection="1">
      <alignment horizontal="center" vertical="center" shrinkToFit="1"/>
      <protection hidden="1"/>
    </xf>
    <xf numFmtId="0" fontId="0" fillId="34" borderId="56" xfId="51" applyFont="1" applyFill="1" applyBorder="1" applyAlignment="1" applyProtection="1">
      <alignment horizontal="center" vertical="center"/>
      <protection hidden="1"/>
    </xf>
    <xf numFmtId="0" fontId="0" fillId="34" borderId="57" xfId="51" applyFont="1" applyFill="1" applyBorder="1" applyAlignment="1" applyProtection="1">
      <alignment horizontal="center" vertical="center" shrinkToFit="1"/>
      <protection hidden="1"/>
    </xf>
    <xf numFmtId="0" fontId="0" fillId="0" borderId="72" xfId="52" applyNumberFormat="1" applyFont="1" applyFill="1" applyBorder="1" applyAlignment="1" applyProtection="1">
      <alignment horizontal="left" vertical="center" indent="4" shrinkToFit="1"/>
      <protection hidden="1"/>
    </xf>
    <xf numFmtId="38" fontId="89" fillId="28" borderId="161" xfId="38" applyFont="1" applyFill="1" applyBorder="1" applyAlignment="1" applyProtection="1">
      <alignment horizontal="center" vertical="center" shrinkToFit="1"/>
      <protection locked="0" hidden="1"/>
    </xf>
    <xf numFmtId="194" fontId="90" fillId="0" borderId="149" xfId="38" applyNumberFormat="1" applyFont="1" applyBorder="1" applyAlignment="1" applyProtection="1">
      <alignment vertical="center" shrinkToFit="1"/>
      <protection locked="0"/>
    </xf>
    <xf numFmtId="194" fontId="90" fillId="0" borderId="162" xfId="38" applyNumberFormat="1" applyFont="1" applyBorder="1" applyAlignment="1" applyProtection="1">
      <alignment vertical="center" shrinkToFit="1"/>
      <protection locked="0"/>
    </xf>
    <xf numFmtId="38" fontId="89" fillId="28" borderId="161" xfId="38" applyFont="1" applyFill="1" applyBorder="1" applyAlignment="1" applyProtection="1">
      <alignment horizontal="center" vertical="center" shrinkToFit="1"/>
      <protection locked="0"/>
    </xf>
    <xf numFmtId="38" fontId="89" fillId="28" borderId="175" xfId="38" applyFont="1" applyFill="1" applyBorder="1" applyAlignment="1" applyProtection="1">
      <alignment horizontal="center" vertical="center" shrinkToFit="1"/>
      <protection locked="0" hidden="1"/>
    </xf>
    <xf numFmtId="194" fontId="90" fillId="0" borderId="57" xfId="38" applyNumberFormat="1" applyFont="1" applyBorder="1" applyAlignment="1" applyProtection="1">
      <alignment vertical="center" shrinkToFit="1"/>
      <protection locked="0"/>
    </xf>
    <xf numFmtId="0" fontId="0" fillId="0" borderId="0" xfId="0" applyFill="1">
      <alignment vertical="center"/>
    </xf>
    <xf numFmtId="194" fontId="90" fillId="0" borderId="172" xfId="38" applyNumberFormat="1" applyFont="1" applyBorder="1" applyAlignment="1" applyProtection="1">
      <alignment vertical="center" shrinkToFit="1"/>
      <protection locked="0"/>
    </xf>
    <xf numFmtId="0" fontId="28" fillId="24" borderId="167" xfId="52" applyFont="1" applyFill="1" applyBorder="1" applyAlignment="1" applyProtection="1">
      <alignment horizontal="center" vertical="center"/>
      <protection hidden="1"/>
    </xf>
    <xf numFmtId="0" fontId="28" fillId="24" borderId="90" xfId="52" applyFont="1" applyFill="1" applyBorder="1" applyAlignment="1" applyProtection="1">
      <alignment horizontal="center" vertical="center" wrapText="1"/>
      <protection hidden="1"/>
    </xf>
    <xf numFmtId="0" fontId="2" fillId="32" borderId="0" xfId="51" applyFill="1" applyAlignment="1" applyProtection="1">
      <alignment horizontal="center"/>
    </xf>
    <xf numFmtId="0" fontId="46" fillId="24" borderId="90" xfId="51" applyFont="1" applyFill="1" applyBorder="1" applyAlignment="1" applyProtection="1">
      <alignment horizontal="center"/>
    </xf>
    <xf numFmtId="0" fontId="28" fillId="24" borderId="61" xfId="51" applyFont="1" applyFill="1" applyBorder="1" applyAlignment="1" applyProtection="1">
      <alignment horizontal="center" vertical="center" wrapText="1"/>
    </xf>
    <xf numFmtId="0" fontId="2" fillId="24" borderId="90" xfId="51" applyFont="1" applyFill="1" applyBorder="1" applyProtection="1"/>
    <xf numFmtId="0" fontId="2" fillId="24" borderId="142" xfId="51" applyFont="1" applyFill="1" applyBorder="1" applyProtection="1"/>
    <xf numFmtId="0" fontId="0" fillId="31" borderId="134" xfId="52" applyNumberFormat="1" applyFont="1" applyFill="1" applyBorder="1" applyAlignment="1" applyProtection="1">
      <alignment horizontal="left" vertical="center" shrinkToFit="1"/>
    </xf>
    <xf numFmtId="0" fontId="2" fillId="31" borderId="100" xfId="52" applyNumberFormat="1" applyFont="1" applyFill="1" applyBorder="1" applyAlignment="1" applyProtection="1">
      <alignment horizontal="left" vertical="center" shrinkToFit="1"/>
    </xf>
    <xf numFmtId="0" fontId="2" fillId="31" borderId="143" xfId="52" applyNumberFormat="1" applyFont="1" applyFill="1" applyBorder="1" applyAlignment="1" applyProtection="1">
      <alignment horizontal="left" vertical="center" shrinkToFit="1"/>
    </xf>
    <xf numFmtId="0" fontId="2" fillId="31" borderId="83" xfId="52" applyNumberFormat="1" applyFont="1" applyFill="1" applyBorder="1" applyAlignment="1" applyProtection="1">
      <alignment horizontal="left" vertical="center" shrinkToFit="1"/>
    </xf>
    <xf numFmtId="0" fontId="2" fillId="31" borderId="73" xfId="52" applyNumberFormat="1" applyFont="1" applyFill="1" applyBorder="1" applyAlignment="1" applyProtection="1">
      <alignment horizontal="left" vertical="center" shrinkToFit="1"/>
    </xf>
    <xf numFmtId="0" fontId="19" fillId="24" borderId="90" xfId="0" applyFont="1" applyFill="1" applyBorder="1" applyAlignment="1" applyProtection="1">
      <alignment horizontal="center" vertical="center"/>
    </xf>
    <xf numFmtId="0" fontId="2" fillId="31" borderId="133" xfId="52" applyNumberFormat="1" applyFont="1" applyFill="1" applyBorder="1" applyAlignment="1" applyProtection="1">
      <alignment horizontal="left" vertical="center" shrinkToFit="1"/>
    </xf>
    <xf numFmtId="0" fontId="2" fillId="31" borderId="80" xfId="52" applyNumberFormat="1" applyFont="1" applyFill="1" applyBorder="1" applyAlignment="1" applyProtection="1">
      <alignment horizontal="left" vertical="center" shrinkToFit="1"/>
    </xf>
    <xf numFmtId="0" fontId="2" fillId="31" borderId="70" xfId="52" applyNumberFormat="1" applyFont="1" applyFill="1" applyBorder="1" applyAlignment="1" applyProtection="1">
      <alignment horizontal="left" vertical="center" shrinkToFit="1"/>
    </xf>
    <xf numFmtId="0" fontId="2" fillId="31" borderId="72" xfId="52" applyNumberFormat="1" applyFont="1" applyFill="1" applyBorder="1" applyAlignment="1" applyProtection="1">
      <alignment horizontal="left" vertical="center" shrinkToFit="1"/>
    </xf>
    <xf numFmtId="0" fontId="2" fillId="31" borderId="134" xfId="52" applyNumberFormat="1" applyFont="1" applyFill="1" applyBorder="1" applyAlignment="1" applyProtection="1">
      <alignment horizontal="left" vertical="center" shrinkToFit="1"/>
    </xf>
    <xf numFmtId="14" fontId="0" fillId="0" borderId="0" xfId="51" applyNumberFormat="1" applyFont="1" applyAlignment="1" applyProtection="1">
      <alignment horizontal="left" shrinkToFit="1"/>
    </xf>
    <xf numFmtId="0" fontId="46" fillId="24" borderId="137" xfId="51" applyFont="1" applyFill="1" applyBorder="1" applyAlignment="1" applyProtection="1">
      <alignment horizontal="center"/>
    </xf>
    <xf numFmtId="0" fontId="49" fillId="0" borderId="117" xfId="51" applyFont="1" applyFill="1" applyBorder="1" applyAlignment="1" applyProtection="1">
      <alignment horizontal="center" vertical="center" shrinkToFit="1"/>
    </xf>
    <xf numFmtId="0" fontId="49" fillId="0" borderId="116" xfId="51" applyFont="1" applyFill="1" applyBorder="1" applyAlignment="1" applyProtection="1">
      <alignment horizontal="center" vertical="center" shrinkToFit="1"/>
    </xf>
    <xf numFmtId="0" fontId="1" fillId="28" borderId="32" xfId="51" applyFont="1" applyFill="1" applyBorder="1" applyAlignment="1" applyProtection="1">
      <alignment horizontal="center" vertical="center"/>
    </xf>
    <xf numFmtId="0" fontId="1" fillId="28" borderId="33" xfId="51" applyFont="1" applyFill="1" applyBorder="1" applyAlignment="1" applyProtection="1">
      <alignment horizontal="center" vertical="center"/>
    </xf>
    <xf numFmtId="0" fontId="1" fillId="28" borderId="25" xfId="51" applyFont="1" applyFill="1" applyBorder="1" applyAlignment="1" applyProtection="1">
      <alignment horizontal="center" vertical="center"/>
    </xf>
    <xf numFmtId="203" fontId="54" fillId="0" borderId="56" xfId="51" quotePrefix="1" applyNumberFormat="1" applyFont="1" applyFill="1" applyBorder="1" applyAlignment="1" applyProtection="1">
      <alignment horizontal="center" vertical="center"/>
    </xf>
    <xf numFmtId="203" fontId="54" fillId="0" borderId="76" xfId="51" quotePrefix="1" applyNumberFormat="1" applyFont="1" applyFill="1" applyBorder="1" applyAlignment="1" applyProtection="1">
      <alignment horizontal="center" vertical="center"/>
    </xf>
    <xf numFmtId="0" fontId="2" fillId="24" borderId="56" xfId="51" applyFill="1" applyBorder="1" applyAlignment="1" applyProtection="1">
      <alignment horizontal="center" vertical="center"/>
      <protection hidden="1"/>
    </xf>
    <xf numFmtId="0" fontId="2" fillId="24" borderId="76" xfId="51" applyFill="1" applyBorder="1" applyAlignment="1" applyProtection="1">
      <alignment horizontal="center" vertical="center"/>
      <protection hidden="1"/>
    </xf>
    <xf numFmtId="0" fontId="2" fillId="24" borderId="114" xfId="51" applyFill="1" applyBorder="1" applyAlignment="1" applyProtection="1">
      <alignment horizontal="center" vertical="center"/>
      <protection hidden="1"/>
    </xf>
    <xf numFmtId="0" fontId="2" fillId="24" borderId="152" xfId="51" applyFill="1" applyBorder="1" applyAlignment="1" applyProtection="1">
      <alignment horizontal="center" vertical="center"/>
      <protection hidden="1"/>
    </xf>
    <xf numFmtId="0" fontId="2" fillId="24" borderId="75" xfId="51" applyFill="1" applyBorder="1" applyAlignment="1" applyProtection="1">
      <alignment horizontal="center" vertical="center"/>
      <protection hidden="1"/>
    </xf>
    <xf numFmtId="0" fontId="2" fillId="24" borderId="153" xfId="51" applyFill="1" applyBorder="1" applyAlignment="1" applyProtection="1">
      <alignment horizontal="center" vertical="center"/>
      <protection hidden="1"/>
    </xf>
    <xf numFmtId="189" fontId="40" fillId="28" borderId="124" xfId="51" applyNumberFormat="1" applyFont="1" applyFill="1" applyBorder="1" applyAlignment="1" applyProtection="1">
      <alignment horizontal="center" vertical="center"/>
    </xf>
    <xf numFmtId="189" fontId="40" fillId="28" borderId="19" xfId="51" applyNumberFormat="1" applyFont="1" applyFill="1" applyBorder="1" applyAlignment="1" applyProtection="1">
      <alignment horizontal="center" vertical="center"/>
    </xf>
    <xf numFmtId="0" fontId="28" fillId="24" borderId="58" xfId="51" applyFont="1" applyFill="1" applyBorder="1" applyAlignment="1" applyProtection="1">
      <alignment horizontal="center" vertical="center" wrapText="1"/>
    </xf>
    <xf numFmtId="0" fontId="28" fillId="24" borderId="159" xfId="51" applyFont="1" applyFill="1" applyBorder="1" applyAlignment="1" applyProtection="1">
      <alignment horizontal="center" vertical="center" wrapText="1"/>
    </xf>
    <xf numFmtId="182" fontId="30" fillId="28" borderId="165" xfId="52" applyNumberFormat="1" applyFont="1" applyFill="1" applyBorder="1" applyAlignment="1" applyProtection="1">
      <alignment horizontal="center" vertical="center"/>
    </xf>
    <xf numFmtId="182" fontId="30" fillId="28" borderId="166" xfId="52" applyNumberFormat="1" applyFont="1" applyFill="1" applyBorder="1" applyAlignment="1" applyProtection="1">
      <alignment horizontal="center" vertical="center"/>
    </xf>
    <xf numFmtId="182" fontId="30" fillId="28" borderId="82" xfId="52" applyNumberFormat="1" applyFont="1" applyFill="1" applyBorder="1" applyAlignment="1" applyProtection="1">
      <alignment horizontal="center" vertical="center"/>
    </xf>
    <xf numFmtId="182" fontId="30" fillId="28" borderId="135" xfId="52" applyNumberFormat="1" applyFont="1" applyFill="1" applyBorder="1" applyAlignment="1" applyProtection="1">
      <alignment horizontal="center" vertical="center"/>
    </xf>
    <xf numFmtId="0" fontId="28" fillId="24" borderId="158" xfId="52" applyFont="1" applyFill="1" applyBorder="1" applyAlignment="1" applyProtection="1">
      <alignment horizontal="center" vertical="center" shrinkToFit="1"/>
      <protection hidden="1"/>
    </xf>
    <xf numFmtId="0" fontId="28" fillId="24" borderId="159" xfId="52" applyFont="1" applyFill="1" applyBorder="1" applyAlignment="1" applyProtection="1">
      <alignment horizontal="center" vertical="center" shrinkToFit="1"/>
      <protection hidden="1"/>
    </xf>
    <xf numFmtId="189" fontId="40" fillId="28" borderId="123" xfId="51" applyNumberFormat="1" applyFont="1" applyFill="1" applyBorder="1" applyAlignment="1" applyProtection="1">
      <alignment horizontal="center" vertical="center"/>
    </xf>
    <xf numFmtId="189" fontId="40" fillId="28" borderId="139" xfId="51" applyNumberFormat="1" applyFont="1" applyFill="1" applyBorder="1" applyAlignment="1" applyProtection="1">
      <alignment horizontal="center" vertical="center"/>
    </xf>
    <xf numFmtId="0" fontId="53" fillId="0" borderId="29" xfId="51" applyFont="1" applyFill="1" applyBorder="1" applyAlignment="1" applyProtection="1">
      <alignment horizontal="center"/>
      <protection hidden="1"/>
    </xf>
    <xf numFmtId="0" fontId="53" fillId="0" borderId="30" xfId="51" applyFont="1" applyFill="1" applyBorder="1" applyAlignment="1" applyProtection="1">
      <alignment horizontal="center"/>
      <protection hidden="1"/>
    </xf>
    <xf numFmtId="0" fontId="54" fillId="28" borderId="178" xfId="51" applyFont="1" applyFill="1" applyBorder="1" applyAlignment="1" applyProtection="1">
      <alignment horizontal="left" vertical="center" shrinkToFit="1"/>
      <protection locked="0"/>
    </xf>
    <xf numFmtId="0" fontId="54" fillId="28" borderId="176" xfId="51" applyFont="1" applyFill="1" applyBorder="1" applyAlignment="1" applyProtection="1">
      <alignment horizontal="left" vertical="center" shrinkToFit="1"/>
      <protection locked="0"/>
    </xf>
    <xf numFmtId="49" fontId="54" fillId="28" borderId="117" xfId="51" applyNumberFormat="1" applyFont="1" applyFill="1" applyBorder="1" applyAlignment="1" applyProtection="1">
      <alignment horizontal="left" vertical="center" shrinkToFit="1"/>
      <protection locked="0"/>
    </xf>
    <xf numFmtId="49" fontId="54" fillId="28" borderId="180" xfId="51" applyNumberFormat="1" applyFont="1" applyFill="1" applyBorder="1" applyAlignment="1" applyProtection="1">
      <alignment horizontal="left" vertical="center" shrinkToFit="1"/>
      <protection locked="0"/>
    </xf>
    <xf numFmtId="49" fontId="54" fillId="28" borderId="179" xfId="51" applyNumberFormat="1" applyFont="1" applyFill="1" applyBorder="1" applyAlignment="1" applyProtection="1">
      <alignment horizontal="left" vertical="center"/>
      <protection locked="0"/>
    </xf>
    <xf numFmtId="49" fontId="54" fillId="28" borderId="177" xfId="51" applyNumberFormat="1" applyFont="1" applyFill="1" applyBorder="1" applyAlignment="1" applyProtection="1">
      <alignment horizontal="left" vertical="center"/>
      <protection locked="0"/>
    </xf>
    <xf numFmtId="38" fontId="28" fillId="0" borderId="12" xfId="38" applyFont="1" applyBorder="1" applyAlignment="1">
      <alignment vertical="top" wrapText="1"/>
    </xf>
    <xf numFmtId="38" fontId="28" fillId="0" borderId="12" xfId="38" applyFont="1" applyBorder="1" applyAlignment="1">
      <alignment vertical="top"/>
    </xf>
    <xf numFmtId="0" fontId="0" fillId="0" borderId="100" xfId="52" applyNumberFormat="1" applyFont="1" applyFill="1" applyBorder="1" applyAlignment="1" applyProtection="1">
      <alignment horizontal="left" vertical="center" shrinkToFit="1"/>
      <protection locked="0"/>
    </xf>
    <xf numFmtId="0" fontId="0" fillId="0" borderId="72" xfId="52" applyNumberFormat="1" applyFont="1" applyFill="1" applyBorder="1" applyAlignment="1" applyProtection="1">
      <alignment horizontal="left" vertical="center" shrinkToFit="1"/>
      <protection locked="0"/>
    </xf>
    <xf numFmtId="0" fontId="2" fillId="0" borderId="83" xfId="52" applyNumberFormat="1" applyFont="1" applyFill="1" applyBorder="1" applyAlignment="1" applyProtection="1">
      <alignment horizontal="left" vertical="center" shrinkToFit="1"/>
      <protection locked="0"/>
    </xf>
    <xf numFmtId="0" fontId="2" fillId="0" borderId="73" xfId="52" applyNumberFormat="1" applyFont="1" applyFill="1" applyBorder="1" applyAlignment="1" applyProtection="1">
      <alignment horizontal="left" vertical="center" shrinkToFit="1"/>
      <protection locked="0"/>
    </xf>
    <xf numFmtId="0" fontId="28" fillId="24" borderId="32" xfId="52" applyFont="1" applyFill="1" applyBorder="1" applyAlignment="1" applyProtection="1">
      <alignment horizontal="center" vertical="center" wrapText="1"/>
      <protection hidden="1"/>
    </xf>
    <xf numFmtId="0" fontId="28" fillId="24" borderId="33" xfId="52" applyFont="1" applyFill="1" applyBorder="1" applyAlignment="1" applyProtection="1">
      <alignment horizontal="center" vertical="center" wrapText="1"/>
      <protection hidden="1"/>
    </xf>
    <xf numFmtId="0" fontId="28" fillId="24" borderId="25" xfId="52" applyFont="1" applyFill="1" applyBorder="1" applyAlignment="1" applyProtection="1">
      <alignment horizontal="center" vertical="center" wrapText="1"/>
      <protection hidden="1"/>
    </xf>
    <xf numFmtId="0" fontId="28" fillId="24" borderId="122" xfId="52" applyFont="1" applyFill="1" applyBorder="1" applyAlignment="1" applyProtection="1">
      <alignment horizontal="center" vertical="center"/>
      <protection hidden="1"/>
    </xf>
    <xf numFmtId="0" fontId="28" fillId="24" borderId="141" xfId="52" applyFont="1" applyFill="1" applyBorder="1" applyAlignment="1" applyProtection="1">
      <alignment horizontal="center" vertical="center"/>
      <protection hidden="1"/>
    </xf>
    <xf numFmtId="0" fontId="0" fillId="0" borderId="55" xfId="0" applyBorder="1" applyAlignment="1" applyProtection="1">
      <alignment horizontal="center" vertical="center"/>
      <protection hidden="1"/>
    </xf>
    <xf numFmtId="0" fontId="0" fillId="0" borderId="33" xfId="0" applyBorder="1" applyAlignment="1" applyProtection="1">
      <alignment horizontal="center" vertical="center"/>
      <protection hidden="1"/>
    </xf>
    <xf numFmtId="0" fontId="0" fillId="0" borderId="34" xfId="0" applyBorder="1" applyAlignment="1" applyProtection="1">
      <alignment horizontal="center" vertical="center"/>
      <protection hidden="1"/>
    </xf>
    <xf numFmtId="0" fontId="46" fillId="28" borderId="29" xfId="0" applyFont="1" applyFill="1" applyBorder="1" applyAlignment="1" applyProtection="1">
      <alignment horizontal="center" vertical="center"/>
      <protection hidden="1"/>
    </xf>
    <xf numFmtId="0" fontId="46" fillId="28" borderId="1" xfId="0" applyFont="1" applyFill="1" applyBorder="1" applyAlignment="1" applyProtection="1">
      <alignment horizontal="center" vertical="center"/>
      <protection hidden="1"/>
    </xf>
    <xf numFmtId="0" fontId="46" fillId="28" borderId="30" xfId="0" applyFont="1" applyFill="1" applyBorder="1" applyAlignment="1" applyProtection="1">
      <alignment horizontal="center" vertical="center"/>
      <protection hidden="1"/>
    </xf>
    <xf numFmtId="49" fontId="28" fillId="28" borderId="58" xfId="0" applyNumberFormat="1" applyFont="1" applyFill="1" applyBorder="1" applyAlignment="1" applyProtection="1">
      <alignment horizontal="left" vertical="center" shrinkToFit="1"/>
      <protection locked="0"/>
    </xf>
    <xf numFmtId="49" fontId="28" fillId="28" borderId="59" xfId="0" applyNumberFormat="1" applyFont="1" applyFill="1" applyBorder="1" applyAlignment="1" applyProtection="1">
      <alignment horizontal="left" vertical="center" shrinkToFit="1"/>
      <protection locked="0"/>
    </xf>
    <xf numFmtId="49" fontId="28" fillId="28" borderId="60" xfId="0" applyNumberFormat="1" applyFont="1" applyFill="1" applyBorder="1" applyAlignment="1" applyProtection="1">
      <alignment horizontal="left" vertical="center" shrinkToFit="1"/>
      <protection locked="0"/>
    </xf>
    <xf numFmtId="49" fontId="28" fillId="28" borderId="51" xfId="0" applyNumberFormat="1" applyFont="1" applyFill="1" applyBorder="1" applyAlignment="1" applyProtection="1">
      <alignment horizontal="left" vertical="center" shrinkToFit="1"/>
      <protection locked="0"/>
    </xf>
    <xf numFmtId="49" fontId="28" fillId="28" borderId="0" xfId="0" applyNumberFormat="1" applyFont="1" applyFill="1" applyBorder="1" applyAlignment="1" applyProtection="1">
      <alignment horizontal="left" vertical="center" shrinkToFit="1"/>
      <protection locked="0"/>
    </xf>
    <xf numFmtId="49" fontId="28" fillId="28" borderId="31" xfId="0" applyNumberFormat="1" applyFont="1" applyFill="1" applyBorder="1" applyAlignment="1" applyProtection="1">
      <alignment horizontal="left" vertical="center" shrinkToFit="1"/>
      <protection locked="0"/>
    </xf>
    <xf numFmtId="49" fontId="28" fillId="28" borderId="32" xfId="0" applyNumberFormat="1" applyFont="1" applyFill="1" applyBorder="1" applyAlignment="1" applyProtection="1">
      <alignment horizontal="left" vertical="center" shrinkToFit="1"/>
      <protection locked="0"/>
    </xf>
    <xf numFmtId="49" fontId="28" fillId="28" borderId="33" xfId="0" applyNumberFormat="1" applyFont="1" applyFill="1" applyBorder="1" applyAlignment="1" applyProtection="1">
      <alignment horizontal="left" vertical="center" shrinkToFit="1"/>
      <protection locked="0"/>
    </xf>
    <xf numFmtId="49" fontId="28" fillId="28" borderId="34" xfId="0" applyNumberFormat="1" applyFont="1" applyFill="1" applyBorder="1" applyAlignment="1" applyProtection="1">
      <alignment horizontal="left" vertical="center" shrinkToFit="1"/>
      <protection locked="0"/>
    </xf>
    <xf numFmtId="205" fontId="31" fillId="0" borderId="0" xfId="52" applyNumberFormat="1" applyFont="1" applyBorder="1" applyAlignment="1" applyProtection="1">
      <alignment horizontal="right" vertical="top"/>
      <protection hidden="1"/>
    </xf>
    <xf numFmtId="49" fontId="28" fillId="33" borderId="23" xfId="52" applyNumberFormat="1" applyFont="1" applyFill="1" applyBorder="1" applyAlignment="1" applyProtection="1">
      <alignment vertical="center" shrinkToFit="1"/>
      <protection locked="0"/>
    </xf>
    <xf numFmtId="49" fontId="28" fillId="33" borderId="124" xfId="52" applyNumberFormat="1" applyFont="1" applyFill="1" applyBorder="1" applyAlignment="1" applyProtection="1">
      <alignment vertical="center" shrinkToFit="1"/>
      <protection locked="0"/>
    </xf>
    <xf numFmtId="49" fontId="28" fillId="33" borderId="138" xfId="52" applyNumberFormat="1" applyFont="1" applyFill="1" applyBorder="1" applyAlignment="1" applyProtection="1">
      <alignment vertical="center" shrinkToFit="1"/>
      <protection locked="0"/>
    </xf>
    <xf numFmtId="49" fontId="28" fillId="33" borderId="106" xfId="52" applyNumberFormat="1" applyFont="1" applyFill="1" applyBorder="1" applyAlignment="1" applyProtection="1">
      <alignment vertical="center" shrinkToFit="1"/>
      <protection locked="0"/>
    </xf>
    <xf numFmtId="49" fontId="28" fillId="33" borderId="129" xfId="52" applyNumberFormat="1" applyFont="1" applyFill="1" applyBorder="1" applyAlignment="1" applyProtection="1">
      <alignment vertical="center" shrinkToFit="1"/>
      <protection locked="0"/>
    </xf>
    <xf numFmtId="49" fontId="28" fillId="33" borderId="144" xfId="52" applyNumberFormat="1" applyFont="1" applyFill="1" applyBorder="1" applyAlignment="1" applyProtection="1">
      <alignment vertical="center" shrinkToFit="1"/>
      <protection locked="0"/>
    </xf>
    <xf numFmtId="0" fontId="0" fillId="0" borderId="134" xfId="52" applyNumberFormat="1" applyFont="1" applyFill="1" applyBorder="1" applyAlignment="1" applyProtection="1">
      <alignment horizontal="left" vertical="center" indent="1" shrinkToFit="1"/>
      <protection locked="0"/>
    </xf>
    <xf numFmtId="0" fontId="0" fillId="0" borderId="100" xfId="52" applyNumberFormat="1" applyFont="1" applyFill="1" applyBorder="1" applyAlignment="1" applyProtection="1">
      <alignment horizontal="left" vertical="center" indent="1" shrinkToFit="1"/>
      <protection locked="0"/>
    </xf>
    <xf numFmtId="0" fontId="2" fillId="0" borderId="143" xfId="52" applyNumberFormat="1" applyFont="1" applyFill="1" applyBorder="1" applyAlignment="1" applyProtection="1">
      <alignment horizontal="left" vertical="center" indent="1" shrinkToFit="1"/>
      <protection locked="0"/>
    </xf>
    <xf numFmtId="0" fontId="2" fillId="0" borderId="83" xfId="52" applyNumberFormat="1" applyFont="1" applyFill="1" applyBorder="1" applyAlignment="1" applyProtection="1">
      <alignment horizontal="left" vertical="center" indent="1" shrinkToFit="1"/>
      <protection locked="0"/>
    </xf>
    <xf numFmtId="0" fontId="2" fillId="0" borderId="73" xfId="52" applyNumberFormat="1" applyFont="1" applyFill="1" applyBorder="1" applyAlignment="1" applyProtection="1">
      <alignment horizontal="left" vertical="center" indent="1" shrinkToFit="1"/>
      <protection locked="0"/>
    </xf>
    <xf numFmtId="0" fontId="28" fillId="24" borderId="167" xfId="52" applyFont="1" applyFill="1" applyBorder="1" applyAlignment="1" applyProtection="1">
      <alignment horizontal="center" vertical="center"/>
      <protection hidden="1"/>
    </xf>
    <xf numFmtId="0" fontId="2" fillId="24" borderId="168" xfId="52" applyFont="1" applyFill="1" applyBorder="1" applyAlignment="1" applyProtection="1">
      <alignment horizontal="center" vertical="center"/>
      <protection hidden="1"/>
    </xf>
    <xf numFmtId="0" fontId="28" fillId="24" borderId="90" xfId="52" applyFont="1" applyFill="1" applyBorder="1" applyAlignment="1" applyProtection="1">
      <alignment horizontal="center" vertical="center" wrapText="1"/>
      <protection hidden="1"/>
    </xf>
    <xf numFmtId="0" fontId="28" fillId="24" borderId="142" xfId="52" applyFont="1" applyFill="1" applyBorder="1" applyAlignment="1" applyProtection="1">
      <alignment horizontal="center" vertical="center" wrapText="1"/>
      <protection hidden="1"/>
    </xf>
    <xf numFmtId="0" fontId="28" fillId="24" borderId="61" xfId="52" applyFont="1" applyFill="1" applyBorder="1" applyAlignment="1" applyProtection="1">
      <alignment horizontal="distributed" vertical="center" indent="5"/>
      <protection hidden="1"/>
    </xf>
    <xf numFmtId="0" fontId="28" fillId="24" borderId="90" xfId="52" applyFont="1" applyFill="1" applyBorder="1" applyAlignment="1" applyProtection="1">
      <alignment horizontal="distributed" vertical="center" indent="5"/>
      <protection hidden="1"/>
    </xf>
    <xf numFmtId="0" fontId="28" fillId="24" borderId="128" xfId="52" applyFont="1" applyFill="1" applyBorder="1" applyAlignment="1" applyProtection="1">
      <alignment horizontal="distributed" vertical="center" indent="5"/>
      <protection hidden="1"/>
    </xf>
    <xf numFmtId="49" fontId="28" fillId="33" borderId="21" xfId="52" applyNumberFormat="1" applyFont="1" applyFill="1" applyBorder="1" applyAlignment="1" applyProtection="1">
      <alignment vertical="center" shrinkToFit="1"/>
      <protection locked="0"/>
    </xf>
    <xf numFmtId="49" fontId="28" fillId="33" borderId="26" xfId="52" applyNumberFormat="1" applyFont="1" applyFill="1" applyBorder="1" applyAlignment="1" applyProtection="1">
      <alignment vertical="center" shrinkToFit="1"/>
      <protection locked="0"/>
    </xf>
    <xf numFmtId="49" fontId="28" fillId="33" borderId="145" xfId="52" applyNumberFormat="1" applyFont="1" applyFill="1" applyBorder="1" applyAlignment="1" applyProtection="1">
      <alignment vertical="center" shrinkToFit="1"/>
      <protection locked="0"/>
    </xf>
    <xf numFmtId="204" fontId="57" fillId="0" borderId="0" xfId="52" applyNumberFormat="1" applyFont="1" applyBorder="1" applyAlignment="1" applyProtection="1">
      <alignment horizontal="left" vertical="center"/>
      <protection hidden="1"/>
    </xf>
    <xf numFmtId="0" fontId="0" fillId="0" borderId="133" xfId="52" applyNumberFormat="1" applyFont="1" applyFill="1" applyBorder="1" applyAlignment="1" applyProtection="1">
      <alignment horizontal="left" vertical="center" indent="1" shrinkToFit="1"/>
      <protection locked="0"/>
    </xf>
    <xf numFmtId="0" fontId="2" fillId="0" borderId="80" xfId="52" applyNumberFormat="1" applyFont="1" applyFill="1" applyBorder="1" applyAlignment="1" applyProtection="1">
      <alignment horizontal="left" vertical="center" indent="1" shrinkToFit="1"/>
      <protection locked="0"/>
    </xf>
    <xf numFmtId="0" fontId="2" fillId="0" borderId="70" xfId="52" applyNumberFormat="1" applyFont="1" applyFill="1" applyBorder="1" applyAlignment="1" applyProtection="1">
      <alignment horizontal="left" vertical="center" indent="1" shrinkToFit="1"/>
      <protection locked="0"/>
    </xf>
    <xf numFmtId="0" fontId="2" fillId="0" borderId="80" xfId="52" applyNumberFormat="1" applyFont="1" applyFill="1" applyBorder="1" applyAlignment="1" applyProtection="1">
      <alignment horizontal="left" vertical="center" shrinkToFit="1"/>
      <protection locked="0"/>
    </xf>
    <xf numFmtId="0" fontId="2" fillId="0" borderId="70" xfId="52" applyNumberFormat="1" applyFont="1" applyFill="1" applyBorder="1" applyAlignment="1" applyProtection="1">
      <alignment horizontal="left" vertical="center" shrinkToFit="1"/>
      <protection locked="0"/>
    </xf>
    <xf numFmtId="0" fontId="0" fillId="0" borderId="72" xfId="52" applyNumberFormat="1" applyFont="1" applyFill="1" applyBorder="1" applyAlignment="1" applyProtection="1">
      <alignment horizontal="left" vertical="center" indent="1" shrinkToFit="1"/>
      <protection locked="0"/>
    </xf>
    <xf numFmtId="49" fontId="28" fillId="28" borderId="23" xfId="51" applyNumberFormat="1" applyFont="1" applyFill="1" applyBorder="1" applyAlignment="1" applyProtection="1">
      <alignment horizontal="left" vertical="center" shrinkToFit="1"/>
      <protection locked="0"/>
    </xf>
    <xf numFmtId="49" fontId="28" fillId="28" borderId="124" xfId="51" applyNumberFormat="1" applyFont="1" applyFill="1" applyBorder="1" applyAlignment="1" applyProtection="1">
      <alignment horizontal="left" vertical="center" shrinkToFit="1"/>
      <protection locked="0"/>
    </xf>
    <xf numFmtId="49" fontId="28" fillId="28" borderId="138" xfId="51" applyNumberFormat="1" applyFont="1" applyFill="1" applyBorder="1" applyAlignment="1" applyProtection="1">
      <alignment horizontal="left" vertical="center" shrinkToFit="1"/>
      <protection locked="0"/>
    </xf>
    <xf numFmtId="0" fontId="28" fillId="24" borderId="61" xfId="51" applyFont="1" applyFill="1" applyBorder="1" applyAlignment="1" applyProtection="1">
      <alignment horizontal="center" vertical="center" wrapText="1"/>
      <protection hidden="1"/>
    </xf>
    <xf numFmtId="0" fontId="28" fillId="24" borderId="90" xfId="51" applyFont="1" applyFill="1" applyBorder="1" applyAlignment="1" applyProtection="1">
      <alignment horizontal="center" vertical="center" wrapText="1"/>
      <protection hidden="1"/>
    </xf>
    <xf numFmtId="0" fontId="28" fillId="24" borderId="128" xfId="51" applyFont="1" applyFill="1" applyBorder="1" applyAlignment="1" applyProtection="1">
      <alignment horizontal="center" vertical="center" wrapText="1"/>
      <protection hidden="1"/>
    </xf>
    <xf numFmtId="183" fontId="57" fillId="0" borderId="0" xfId="51" applyNumberFormat="1" applyFont="1" applyBorder="1" applyAlignment="1" applyProtection="1">
      <alignment horizontal="center" vertical="center"/>
      <protection hidden="1"/>
    </xf>
    <xf numFmtId="0" fontId="48" fillId="24" borderId="90" xfId="51" applyFont="1" applyFill="1" applyBorder="1" applyAlignment="1">
      <alignment horizontal="center" wrapText="1"/>
    </xf>
    <xf numFmtId="0" fontId="48" fillId="24" borderId="142" xfId="51" applyFont="1" applyFill="1" applyBorder="1" applyAlignment="1">
      <alignment horizontal="center" wrapText="1"/>
    </xf>
    <xf numFmtId="0" fontId="2" fillId="24" borderId="54" xfId="51" applyFont="1" applyFill="1" applyBorder="1" applyAlignment="1" applyProtection="1">
      <alignment horizontal="left" vertical="center" indent="1"/>
      <protection hidden="1"/>
    </xf>
    <xf numFmtId="0" fontId="2" fillId="24" borderId="88" xfId="51" applyFont="1" applyFill="1" applyBorder="1" applyAlignment="1" applyProtection="1">
      <alignment horizontal="left" vertical="center" indent="1"/>
      <protection hidden="1"/>
    </xf>
    <xf numFmtId="0" fontId="2" fillId="24" borderId="115" xfId="51" applyFont="1" applyFill="1" applyBorder="1" applyAlignment="1" applyProtection="1">
      <alignment horizontal="left" vertical="center" indent="1"/>
      <protection hidden="1"/>
    </xf>
    <xf numFmtId="0" fontId="2" fillId="24" borderId="116" xfId="51" applyFont="1" applyFill="1" applyBorder="1" applyAlignment="1" applyProtection="1">
      <alignment horizontal="left" vertical="center" indent="1"/>
      <protection hidden="1"/>
    </xf>
    <xf numFmtId="0" fontId="2" fillId="24" borderId="146" xfId="51" applyFont="1" applyFill="1" applyBorder="1" applyAlignment="1" applyProtection="1">
      <alignment horizontal="left" vertical="center" indent="1"/>
      <protection hidden="1"/>
    </xf>
    <xf numFmtId="0" fontId="2" fillId="24" borderId="12" xfId="51" applyFont="1" applyFill="1" applyBorder="1" applyAlignment="1" applyProtection="1">
      <alignment horizontal="left" vertical="center" indent="1"/>
      <protection hidden="1"/>
    </xf>
    <xf numFmtId="0" fontId="2" fillId="24" borderId="35" xfId="51" applyFont="1" applyFill="1" applyBorder="1" applyAlignment="1" applyProtection="1">
      <alignment horizontal="left" vertical="center" indent="1"/>
      <protection hidden="1"/>
    </xf>
    <xf numFmtId="0" fontId="2" fillId="24" borderId="108" xfId="51" applyFont="1" applyFill="1" applyBorder="1" applyAlignment="1" applyProtection="1">
      <alignment horizontal="left" vertical="center" indent="1"/>
      <protection hidden="1"/>
    </xf>
    <xf numFmtId="0" fontId="28" fillId="31" borderId="46" xfId="51" applyFont="1" applyFill="1" applyBorder="1" applyAlignment="1" applyProtection="1">
      <alignment horizontal="left" vertical="center"/>
      <protection locked="0"/>
    </xf>
    <xf numFmtId="0" fontId="25" fillId="0" borderId="0" xfId="51" applyFont="1" applyAlignment="1" applyProtection="1">
      <alignment horizontal="center" vertical="center"/>
      <protection hidden="1"/>
    </xf>
    <xf numFmtId="0" fontId="2" fillId="0" borderId="56" xfId="51" applyNumberFormat="1" applyFont="1" applyBorder="1" applyAlignment="1" applyProtection="1">
      <alignment horizontal="left" vertical="center" shrinkToFit="1"/>
      <protection locked="0"/>
    </xf>
    <xf numFmtId="0" fontId="2" fillId="0" borderId="76" xfId="51" applyNumberFormat="1" applyFont="1" applyBorder="1" applyAlignment="1" applyProtection="1">
      <alignment horizontal="left" vertical="center" shrinkToFit="1"/>
      <protection locked="0"/>
    </xf>
    <xf numFmtId="0" fontId="2" fillId="0" borderId="77" xfId="51" applyNumberFormat="1" applyFont="1" applyBorder="1" applyAlignment="1" applyProtection="1">
      <alignment horizontal="left" vertical="center" shrinkToFit="1"/>
      <protection locked="0"/>
    </xf>
    <xf numFmtId="0" fontId="2" fillId="0" borderId="117" xfId="51" applyNumberFormat="1" applyFont="1" applyBorder="1" applyAlignment="1" applyProtection="1">
      <alignment horizontal="left" vertical="center" shrinkToFit="1"/>
      <protection locked="0"/>
    </xf>
    <xf numFmtId="0" fontId="2" fillId="0" borderId="2" xfId="51" applyNumberFormat="1" applyFont="1" applyBorder="1" applyAlignment="1" applyProtection="1">
      <alignment horizontal="left" vertical="center" shrinkToFit="1"/>
      <protection locked="0"/>
    </xf>
    <xf numFmtId="0" fontId="2" fillId="0" borderId="64" xfId="51" applyNumberFormat="1" applyFont="1" applyBorder="1" applyAlignment="1" applyProtection="1">
      <alignment horizontal="left" vertical="center" shrinkToFit="1"/>
      <protection locked="0"/>
    </xf>
    <xf numFmtId="0" fontId="2" fillId="0" borderId="36" xfId="51" applyNumberFormat="1" applyFont="1" applyFill="1" applyBorder="1" applyAlignment="1" applyProtection="1">
      <alignment horizontal="left" vertical="center" shrinkToFit="1"/>
      <protection locked="0"/>
    </xf>
    <xf numFmtId="0" fontId="2" fillId="0" borderId="78" xfId="51" applyNumberFormat="1" applyFont="1" applyFill="1" applyBorder="1" applyAlignment="1" applyProtection="1">
      <alignment horizontal="left" vertical="center" shrinkToFit="1"/>
      <protection locked="0"/>
    </xf>
    <xf numFmtId="0" fontId="2" fillId="0" borderId="120" xfId="51" applyNumberFormat="1" applyFont="1" applyFill="1" applyBorder="1" applyAlignment="1" applyProtection="1">
      <alignment horizontal="left" vertical="center" shrinkToFit="1"/>
      <protection locked="0"/>
    </xf>
    <xf numFmtId="49" fontId="28" fillId="28" borderId="65" xfId="51" applyNumberFormat="1" applyFont="1" applyFill="1" applyBorder="1" applyAlignment="1" applyProtection="1">
      <alignment horizontal="left" vertical="center" shrinkToFit="1"/>
      <protection locked="0"/>
    </xf>
    <xf numFmtId="49" fontId="28" fillId="28" borderId="123" xfId="51" applyNumberFormat="1" applyFont="1" applyFill="1" applyBorder="1" applyAlignment="1" applyProtection="1">
      <alignment horizontal="left" vertical="center" shrinkToFit="1"/>
      <protection locked="0"/>
    </xf>
    <xf numFmtId="49" fontId="28" fillId="28" borderId="140" xfId="51" applyNumberFormat="1" applyFont="1" applyFill="1" applyBorder="1" applyAlignment="1" applyProtection="1">
      <alignment horizontal="left" vertical="center" shrinkToFit="1"/>
      <protection locked="0"/>
    </xf>
    <xf numFmtId="49" fontId="28" fillId="28" borderId="86" xfId="51" applyNumberFormat="1" applyFont="1" applyFill="1" applyBorder="1" applyAlignment="1" applyProtection="1">
      <alignment horizontal="left" vertical="center" shrinkToFit="1"/>
      <protection locked="0"/>
    </xf>
    <xf numFmtId="49" fontId="28" fillId="28" borderId="147" xfId="51" applyNumberFormat="1" applyFont="1" applyFill="1" applyBorder="1" applyAlignment="1" applyProtection="1">
      <alignment horizontal="left" vertical="center" shrinkToFit="1"/>
      <protection locked="0"/>
    </xf>
    <xf numFmtId="49" fontId="28" fillId="28" borderId="148" xfId="51" applyNumberFormat="1" applyFont="1" applyFill="1" applyBorder="1" applyAlignment="1" applyProtection="1">
      <alignment horizontal="left" vertical="center" shrinkToFit="1"/>
      <protection locked="0"/>
    </xf>
    <xf numFmtId="0" fontId="28" fillId="0" borderId="12" xfId="38" applyNumberFormat="1" applyFont="1" applyBorder="1" applyAlignment="1">
      <alignment horizontal="center" vertical="center"/>
    </xf>
    <xf numFmtId="0" fontId="28" fillId="0" borderId="149" xfId="38" applyNumberFormat="1" applyFont="1" applyBorder="1" applyAlignment="1">
      <alignment horizontal="center" vertical="center"/>
    </xf>
    <xf numFmtId="0" fontId="28" fillId="0" borderId="108" xfId="38" applyNumberFormat="1" applyFont="1" applyBorder="1" applyAlignment="1">
      <alignment horizontal="center" vertical="center"/>
    </xf>
    <xf numFmtId="0" fontId="28" fillId="0" borderId="37" xfId="38" applyNumberFormat="1" applyFont="1" applyBorder="1" applyAlignment="1">
      <alignment horizontal="center" vertical="center"/>
    </xf>
    <xf numFmtId="0" fontId="44" fillId="0" borderId="0" xfId="38" applyNumberFormat="1" applyFont="1" applyAlignment="1">
      <alignment horizontal="center" vertical="center"/>
    </xf>
    <xf numFmtId="0" fontId="28" fillId="0" borderId="146" xfId="38" applyNumberFormat="1" applyFont="1" applyBorder="1" applyAlignment="1">
      <alignment horizontal="center" vertical="center"/>
    </xf>
    <xf numFmtId="0" fontId="28" fillId="0" borderId="35" xfId="38" applyNumberFormat="1" applyFont="1" applyBorder="1" applyAlignment="1">
      <alignment horizontal="center" vertical="center"/>
    </xf>
    <xf numFmtId="189" fontId="40" fillId="28" borderId="150" xfId="52" applyNumberFormat="1" applyFont="1" applyFill="1" applyBorder="1" applyAlignment="1" applyProtection="1">
      <alignment horizontal="center" vertical="center"/>
      <protection hidden="1"/>
    </xf>
    <xf numFmtId="189" fontId="40" fillId="28" borderId="151" xfId="52" applyNumberFormat="1" applyFont="1" applyFill="1" applyBorder="1" applyAlignment="1" applyProtection="1">
      <alignment horizontal="center" vertical="center"/>
      <protection hidden="1"/>
    </xf>
    <xf numFmtId="0" fontId="30" fillId="28" borderId="29" xfId="51" applyFont="1" applyFill="1" applyBorder="1" applyAlignment="1" applyProtection="1">
      <alignment horizontal="center" vertical="center"/>
      <protection hidden="1"/>
    </xf>
    <xf numFmtId="0" fontId="30" fillId="28" borderId="30" xfId="51" applyFont="1" applyFill="1" applyBorder="1" applyAlignment="1" applyProtection="1">
      <alignment horizontal="center" vertical="center"/>
      <protection hidden="1"/>
    </xf>
    <xf numFmtId="0" fontId="28" fillId="0" borderId="88" xfId="38" applyNumberFormat="1" applyFont="1" applyBorder="1" applyAlignment="1">
      <alignment horizontal="center" vertical="center"/>
    </xf>
    <xf numFmtId="0" fontId="28" fillId="0" borderId="57" xfId="38" applyNumberFormat="1" applyFont="1" applyBorder="1" applyAlignment="1">
      <alignment horizontal="center" vertical="center"/>
    </xf>
    <xf numFmtId="205" fontId="31" fillId="0" borderId="59" xfId="52" applyNumberFormat="1" applyFont="1" applyBorder="1" applyAlignment="1" applyProtection="1">
      <alignment horizontal="right" vertical="top"/>
      <protection hidden="1"/>
    </xf>
    <xf numFmtId="0" fontId="0" fillId="0" borderId="58" xfId="51" applyFont="1" applyBorder="1" applyAlignment="1" applyProtection="1">
      <alignment horizontal="center" vertical="center"/>
      <protection hidden="1"/>
    </xf>
    <xf numFmtId="0" fontId="2" fillId="0" borderId="59" xfId="51" applyBorder="1" applyAlignment="1" applyProtection="1">
      <alignment horizontal="center" vertical="center"/>
      <protection hidden="1"/>
    </xf>
    <xf numFmtId="0" fontId="2" fillId="0" borderId="60" xfId="51" applyBorder="1" applyAlignment="1" applyProtection="1">
      <alignment horizontal="center" vertical="center"/>
      <protection hidden="1"/>
    </xf>
    <xf numFmtId="0" fontId="2" fillId="0" borderId="51" xfId="51" applyBorder="1" applyAlignment="1" applyProtection="1">
      <alignment horizontal="center" vertical="center"/>
      <protection hidden="1"/>
    </xf>
    <xf numFmtId="0" fontId="2" fillId="0" borderId="0" xfId="51" applyBorder="1" applyAlignment="1" applyProtection="1">
      <alignment horizontal="center" vertical="center"/>
      <protection hidden="1"/>
    </xf>
    <xf numFmtId="0" fontId="2" fillId="0" borderId="31" xfId="51" applyBorder="1" applyAlignment="1" applyProtection="1">
      <alignment horizontal="center" vertical="center"/>
      <protection hidden="1"/>
    </xf>
    <xf numFmtId="0" fontId="2" fillId="0" borderId="32" xfId="51" applyBorder="1" applyAlignment="1" applyProtection="1">
      <alignment horizontal="center" vertical="center"/>
      <protection hidden="1"/>
    </xf>
    <xf numFmtId="0" fontId="2" fillId="0" borderId="33" xfId="51" applyBorder="1" applyAlignment="1" applyProtection="1">
      <alignment horizontal="center" vertical="center"/>
      <protection hidden="1"/>
    </xf>
    <xf numFmtId="0" fontId="2" fillId="0" borderId="34" xfId="51" applyBorder="1" applyAlignment="1" applyProtection="1">
      <alignment horizontal="center" vertical="center"/>
      <protection hidden="1"/>
    </xf>
    <xf numFmtId="194" fontId="2" fillId="0" borderId="56" xfId="46" applyNumberFormat="1" applyFill="1" applyBorder="1" applyAlignment="1" applyProtection="1">
      <alignment horizontal="right" vertical="center" shrinkToFit="1"/>
      <protection hidden="1"/>
    </xf>
    <xf numFmtId="194" fontId="2" fillId="0" borderId="77" xfId="46" applyNumberFormat="1" applyFill="1" applyBorder="1" applyAlignment="1" applyProtection="1">
      <alignment horizontal="right" vertical="center" shrinkToFit="1"/>
      <protection hidden="1"/>
    </xf>
    <xf numFmtId="194" fontId="2" fillId="0" borderId="117" xfId="46" applyNumberFormat="1" applyFill="1" applyBorder="1" applyAlignment="1" applyProtection="1">
      <alignment horizontal="right" vertical="center" shrinkToFit="1"/>
      <protection hidden="1"/>
    </xf>
    <xf numFmtId="194" fontId="2" fillId="0" borderId="64" xfId="46" applyNumberFormat="1" applyFill="1" applyBorder="1" applyAlignment="1" applyProtection="1">
      <alignment horizontal="right" vertical="center" shrinkToFit="1"/>
      <protection hidden="1"/>
    </xf>
    <xf numFmtId="194" fontId="2" fillId="0" borderId="36" xfId="46" applyNumberFormat="1" applyFill="1" applyBorder="1" applyAlignment="1" applyProtection="1">
      <alignment horizontal="right" vertical="center" shrinkToFit="1"/>
      <protection hidden="1"/>
    </xf>
    <xf numFmtId="194" fontId="2" fillId="0" borderId="120" xfId="46" applyNumberFormat="1" applyFill="1" applyBorder="1" applyAlignment="1" applyProtection="1">
      <alignment horizontal="right" vertical="center" shrinkToFit="1"/>
      <protection hidden="1"/>
    </xf>
    <xf numFmtId="0" fontId="49" fillId="28" borderId="36" xfId="51" applyFont="1" applyFill="1" applyBorder="1" applyAlignment="1" applyProtection="1">
      <alignment horizontal="left" vertical="center" shrinkToFit="1"/>
      <protection locked="0"/>
    </xf>
    <xf numFmtId="0" fontId="49" fillId="28" borderId="119" xfId="51" applyFont="1" applyFill="1" applyBorder="1" applyAlignment="1" applyProtection="1">
      <alignment horizontal="left" vertical="center" shrinkToFit="1"/>
      <protection locked="0"/>
    </xf>
    <xf numFmtId="0" fontId="2" fillId="28" borderId="119" xfId="51" applyFill="1" applyBorder="1" applyAlignment="1" applyProtection="1">
      <alignment horizontal="left" vertical="center" shrinkToFit="1"/>
      <protection locked="0"/>
    </xf>
    <xf numFmtId="0" fontId="49" fillId="28" borderId="36" xfId="51" applyFont="1" applyFill="1" applyBorder="1" applyAlignment="1" applyProtection="1">
      <alignment horizontal="center" vertical="center" shrinkToFit="1"/>
      <protection locked="0"/>
    </xf>
    <xf numFmtId="0" fontId="28" fillId="28" borderId="78" xfId="51" applyFont="1" applyFill="1" applyBorder="1" applyAlignment="1" applyProtection="1">
      <alignment horizontal="center" vertical="center" shrinkToFit="1"/>
      <protection locked="0"/>
    </xf>
    <xf numFmtId="193" fontId="54" fillId="28" borderId="36" xfId="38" applyNumberFormat="1" applyFont="1" applyFill="1" applyBorder="1" applyAlignment="1" applyProtection="1">
      <alignment horizontal="right" vertical="center" shrinkToFit="1"/>
      <protection locked="0"/>
    </xf>
    <xf numFmtId="193" fontId="54" fillId="28" borderId="120" xfId="38" applyNumberFormat="1" applyFont="1" applyFill="1" applyBorder="1" applyAlignment="1" applyProtection="1">
      <alignment horizontal="right" vertical="center" shrinkToFit="1"/>
      <protection locked="0"/>
    </xf>
    <xf numFmtId="191" fontId="2" fillId="0" borderId="32" xfId="51" applyNumberFormat="1" applyBorder="1" applyAlignment="1" applyProtection="1">
      <alignment horizontal="center" vertical="center"/>
      <protection hidden="1"/>
    </xf>
    <xf numFmtId="194" fontId="2" fillId="0" borderId="1" xfId="46" applyNumberFormat="1" applyFill="1" applyBorder="1" applyAlignment="1" applyProtection="1">
      <alignment vertical="center" shrinkToFit="1"/>
      <protection hidden="1"/>
    </xf>
    <xf numFmtId="194" fontId="2" fillId="0" borderId="30" xfId="46" applyNumberFormat="1" applyFill="1" applyBorder="1" applyAlignment="1" applyProtection="1">
      <alignment vertical="center" shrinkToFit="1"/>
      <protection hidden="1"/>
    </xf>
    <xf numFmtId="0" fontId="49" fillId="28" borderId="117" xfId="51" applyFont="1" applyFill="1" applyBorder="1" applyAlignment="1" applyProtection="1">
      <alignment horizontal="left" vertical="center" shrinkToFit="1"/>
      <protection locked="0"/>
    </xf>
    <xf numFmtId="0" fontId="49" fillId="28" borderId="116" xfId="51" applyFont="1" applyFill="1" applyBorder="1" applyAlignment="1" applyProtection="1">
      <alignment horizontal="left" vertical="center" shrinkToFit="1"/>
      <protection locked="0"/>
    </xf>
    <xf numFmtId="0" fontId="2" fillId="28" borderId="116" xfId="51" applyFill="1" applyBorder="1" applyAlignment="1" applyProtection="1">
      <alignment horizontal="left" vertical="center" shrinkToFit="1"/>
      <protection locked="0"/>
    </xf>
    <xf numFmtId="0" fontId="49" fillId="28" borderId="117" xfId="51" applyFont="1" applyFill="1" applyBorder="1" applyAlignment="1" applyProtection="1">
      <alignment horizontal="center" vertical="center" shrinkToFit="1"/>
      <protection locked="0"/>
    </xf>
    <xf numFmtId="0" fontId="28" fillId="28" borderId="2" xfId="51" applyFont="1" applyFill="1" applyBorder="1" applyAlignment="1" applyProtection="1">
      <alignment horizontal="center" vertical="center" shrinkToFit="1"/>
      <protection locked="0"/>
    </xf>
    <xf numFmtId="193" fontId="54" fillId="28" borderId="117" xfId="38" applyNumberFormat="1" applyFont="1" applyFill="1" applyBorder="1" applyAlignment="1" applyProtection="1">
      <alignment horizontal="right" vertical="center" shrinkToFit="1"/>
      <protection locked="0"/>
    </xf>
    <xf numFmtId="193" fontId="54" fillId="28" borderId="64" xfId="38" applyNumberFormat="1" applyFont="1" applyFill="1" applyBorder="1" applyAlignment="1" applyProtection="1">
      <alignment horizontal="right" vertical="center" shrinkToFit="1"/>
      <protection locked="0"/>
    </xf>
    <xf numFmtId="0" fontId="49" fillId="28" borderId="2" xfId="51" applyFont="1" applyFill="1" applyBorder="1" applyAlignment="1" applyProtection="1">
      <alignment horizontal="center" vertical="center" shrinkToFit="1"/>
      <protection locked="0"/>
    </xf>
    <xf numFmtId="0" fontId="49" fillId="28" borderId="152" xfId="51" applyFont="1" applyFill="1" applyBorder="1" applyAlignment="1" applyProtection="1">
      <alignment horizontal="left" vertical="center" shrinkToFit="1"/>
      <protection locked="0"/>
    </xf>
    <xf numFmtId="0" fontId="49" fillId="28" borderId="153" xfId="51" applyFont="1" applyFill="1" applyBorder="1" applyAlignment="1" applyProtection="1">
      <alignment horizontal="left" vertical="center" shrinkToFit="1"/>
      <protection locked="0"/>
    </xf>
    <xf numFmtId="0" fontId="2" fillId="28" borderId="153" xfId="51" applyFill="1" applyBorder="1" applyAlignment="1" applyProtection="1">
      <alignment horizontal="left" vertical="center" shrinkToFit="1"/>
      <protection locked="0"/>
    </xf>
    <xf numFmtId="0" fontId="49" fillId="28" borderId="152" xfId="51" applyFont="1" applyFill="1" applyBorder="1" applyAlignment="1" applyProtection="1">
      <alignment horizontal="center" vertical="center" shrinkToFit="1"/>
      <protection locked="0"/>
    </xf>
    <xf numFmtId="0" fontId="28" fillId="28" borderId="75" xfId="51" applyFont="1" applyFill="1" applyBorder="1" applyAlignment="1" applyProtection="1">
      <alignment horizontal="center" vertical="center" shrinkToFit="1"/>
      <protection locked="0"/>
    </xf>
    <xf numFmtId="0" fontId="2" fillId="24" borderId="115" xfId="51" applyFont="1" applyFill="1" applyBorder="1" applyAlignment="1" applyProtection="1">
      <alignment vertical="center"/>
      <protection hidden="1"/>
    </xf>
    <xf numFmtId="0" fontId="2" fillId="24" borderId="2" xfId="51" applyFont="1" applyFill="1" applyBorder="1" applyAlignment="1" applyProtection="1">
      <alignment vertical="center"/>
      <protection hidden="1"/>
    </xf>
    <xf numFmtId="0" fontId="2" fillId="24" borderId="116" xfId="51" applyFont="1" applyFill="1" applyBorder="1" applyAlignment="1" applyProtection="1">
      <alignment vertical="center"/>
      <protection hidden="1"/>
    </xf>
    <xf numFmtId="0" fontId="0" fillId="0" borderId="117" xfId="51" applyFont="1" applyBorder="1" applyAlignment="1" applyProtection="1">
      <alignment horizontal="left" vertical="center" shrinkToFit="1"/>
      <protection locked="0"/>
    </xf>
    <xf numFmtId="0" fontId="2" fillId="0" borderId="2" xfId="51" applyBorder="1" applyAlignment="1" applyProtection="1">
      <alignment horizontal="left" vertical="center" shrinkToFit="1"/>
      <protection locked="0"/>
    </xf>
    <xf numFmtId="0" fontId="2" fillId="24" borderId="118" xfId="51" applyFont="1" applyFill="1" applyBorder="1" applyAlignment="1" applyProtection="1">
      <alignment vertical="center"/>
      <protection hidden="1"/>
    </xf>
    <xf numFmtId="0" fontId="2" fillId="24" borderId="78" xfId="51" applyFont="1" applyFill="1" applyBorder="1" applyAlignment="1" applyProtection="1">
      <alignment vertical="center"/>
      <protection hidden="1"/>
    </xf>
    <xf numFmtId="0" fontId="2" fillId="24" borderId="119" xfId="51" applyFont="1" applyFill="1" applyBorder="1" applyAlignment="1" applyProtection="1">
      <alignment vertical="center"/>
      <protection hidden="1"/>
    </xf>
    <xf numFmtId="0" fontId="2" fillId="0" borderId="36" xfId="51" applyBorder="1" applyAlignment="1" applyProtection="1">
      <alignment horizontal="left" vertical="center" shrinkToFit="1"/>
      <protection locked="0"/>
    </xf>
    <xf numFmtId="0" fontId="2" fillId="0" borderId="78" xfId="51" applyBorder="1" applyAlignment="1" applyProtection="1">
      <alignment horizontal="left" vertical="center" shrinkToFit="1"/>
      <protection locked="0"/>
    </xf>
    <xf numFmtId="0" fontId="2" fillId="0" borderId="120" xfId="51" applyBorder="1" applyAlignment="1" applyProtection="1">
      <alignment horizontal="left" vertical="center" shrinkToFit="1"/>
      <protection locked="0"/>
    </xf>
    <xf numFmtId="0" fontId="2" fillId="24" borderId="88" xfId="51" applyFill="1" applyBorder="1" applyAlignment="1" applyProtection="1">
      <alignment horizontal="center" vertical="center"/>
      <protection hidden="1"/>
    </xf>
    <xf numFmtId="0" fontId="0" fillId="24" borderId="56" xfId="51" applyFont="1" applyFill="1" applyBorder="1" applyAlignment="1" applyProtection="1">
      <alignment horizontal="center" vertical="center"/>
      <protection hidden="1"/>
    </xf>
    <xf numFmtId="0" fontId="0" fillId="24" borderId="56" xfId="51" applyFont="1" applyFill="1" applyBorder="1" applyAlignment="1" applyProtection="1">
      <alignment horizontal="center" vertical="center" shrinkToFit="1"/>
      <protection hidden="1"/>
    </xf>
    <xf numFmtId="0" fontId="2" fillId="24" borderId="77" xfId="51" applyFill="1" applyBorder="1" applyAlignment="1" applyProtection="1">
      <alignment horizontal="center" vertical="center" shrinkToFit="1"/>
      <protection hidden="1"/>
    </xf>
    <xf numFmtId="0" fontId="25" fillId="0" borderId="0" xfId="51" applyFont="1" applyAlignment="1" applyProtection="1">
      <alignment vertical="center" shrinkToFit="1"/>
      <protection hidden="1"/>
    </xf>
    <xf numFmtId="0" fontId="2" fillId="24" borderId="87" xfId="51" applyFont="1" applyFill="1" applyBorder="1" applyAlignment="1" applyProtection="1">
      <alignment vertical="center"/>
      <protection hidden="1"/>
    </xf>
    <xf numFmtId="0" fontId="2" fillId="24" borderId="76" xfId="51" applyFont="1" applyFill="1" applyBorder="1" applyAlignment="1" applyProtection="1">
      <alignment vertical="center"/>
      <protection hidden="1"/>
    </xf>
    <xf numFmtId="0" fontId="2" fillId="24" borderId="114" xfId="51" applyFont="1" applyFill="1" applyBorder="1" applyAlignment="1" applyProtection="1">
      <alignment vertical="center"/>
      <protection hidden="1"/>
    </xf>
    <xf numFmtId="0" fontId="2" fillId="0" borderId="56" xfId="51" applyBorder="1" applyAlignment="1" applyProtection="1">
      <alignment horizontal="left" vertical="center" shrinkToFit="1"/>
      <protection locked="0"/>
    </xf>
    <xf numFmtId="0" fontId="2" fillId="0" borderId="76" xfId="51" applyBorder="1" applyAlignment="1" applyProtection="1">
      <alignment horizontal="left" vertical="center" shrinkToFit="1"/>
      <protection locked="0"/>
    </xf>
    <xf numFmtId="0" fontId="2" fillId="0" borderId="77" xfId="51" applyBorder="1" applyAlignment="1" applyProtection="1">
      <alignment horizontal="left" vertical="center" shrinkToFit="1"/>
      <protection locked="0"/>
    </xf>
    <xf numFmtId="0" fontId="2" fillId="0" borderId="117" xfId="51" applyBorder="1" applyAlignment="1" applyProtection="1">
      <alignment horizontal="left" vertical="center" shrinkToFit="1"/>
      <protection locked="0"/>
    </xf>
    <xf numFmtId="0" fontId="2" fillId="0" borderId="64" xfId="51" applyBorder="1" applyAlignment="1" applyProtection="1">
      <alignment horizontal="left" vertical="center" shrinkToFit="1"/>
      <protection locked="0"/>
    </xf>
    <xf numFmtId="0" fontId="1" fillId="28" borderId="32" xfId="51" applyFont="1" applyFill="1" applyBorder="1" applyAlignment="1" applyProtection="1">
      <alignment horizontal="center" vertical="center"/>
      <protection hidden="1"/>
    </xf>
    <xf numFmtId="0" fontId="2" fillId="0" borderId="25" xfId="51" applyBorder="1" applyAlignment="1" applyProtection="1">
      <alignment horizontal="center" vertical="center"/>
      <protection hidden="1"/>
    </xf>
    <xf numFmtId="194" fontId="2" fillId="28" borderId="122" xfId="51" applyNumberFormat="1" applyFont="1" applyFill="1" applyBorder="1" applyAlignment="1" applyProtection="1">
      <alignment vertical="center" shrinkToFit="1"/>
      <protection hidden="1"/>
    </xf>
    <xf numFmtId="194" fontId="2" fillId="0" borderId="30" xfId="51" applyNumberFormat="1" applyBorder="1" applyAlignment="1" applyProtection="1">
      <alignment vertical="center" shrinkToFit="1"/>
      <protection hidden="1"/>
    </xf>
    <xf numFmtId="0" fontId="49" fillId="28" borderId="2" xfId="51" applyFont="1" applyFill="1" applyBorder="1" applyAlignment="1" applyProtection="1">
      <alignment horizontal="left" vertical="center" shrinkToFit="1"/>
      <protection locked="0"/>
    </xf>
    <xf numFmtId="0" fontId="49" fillId="28" borderId="117" xfId="51" applyFont="1" applyFill="1" applyBorder="1" applyAlignment="1" applyProtection="1">
      <alignment horizontal="right" vertical="center" shrinkToFit="1"/>
      <protection locked="0"/>
    </xf>
    <xf numFmtId="0" fontId="49" fillId="28" borderId="2" xfId="51" applyFont="1" applyFill="1" applyBorder="1" applyAlignment="1" applyProtection="1">
      <alignment horizontal="right" vertical="center" shrinkToFit="1"/>
      <protection locked="0"/>
    </xf>
    <xf numFmtId="0" fontId="49" fillId="28" borderId="116" xfId="51" applyFont="1" applyFill="1" applyBorder="1" applyAlignment="1" applyProtection="1">
      <alignment horizontal="right" vertical="center" shrinkToFit="1"/>
      <protection locked="0"/>
    </xf>
    <xf numFmtId="20" fontId="54" fillId="28" borderId="117" xfId="51" applyNumberFormat="1" applyFont="1" applyFill="1" applyBorder="1" applyAlignment="1" applyProtection="1">
      <alignment horizontal="right" vertical="center" shrinkToFit="1"/>
      <protection locked="0"/>
    </xf>
    <xf numFmtId="20" fontId="54" fillId="28" borderId="116" xfId="51" applyNumberFormat="1" applyFont="1" applyFill="1" applyBorder="1" applyAlignment="1" applyProtection="1">
      <alignment horizontal="right" vertical="center" shrinkToFit="1"/>
      <protection locked="0"/>
    </xf>
    <xf numFmtId="20" fontId="54" fillId="28" borderId="2" xfId="51" applyNumberFormat="1" applyFont="1" applyFill="1" applyBorder="1" applyAlignment="1" applyProtection="1">
      <alignment horizontal="right" vertical="center" shrinkToFit="1"/>
      <protection locked="0"/>
    </xf>
    <xf numFmtId="0" fontId="49" fillId="28" borderId="78" xfId="51" applyFont="1" applyFill="1" applyBorder="1" applyAlignment="1" applyProtection="1">
      <alignment horizontal="left" vertical="center" shrinkToFit="1"/>
      <protection locked="0"/>
    </xf>
    <xf numFmtId="0" fontId="49" fillId="28" borderId="36" xfId="51" applyFont="1" applyFill="1" applyBorder="1" applyAlignment="1" applyProtection="1">
      <alignment horizontal="right" vertical="center" shrinkToFit="1"/>
      <protection locked="0"/>
    </xf>
    <xf numFmtId="0" fontId="49" fillId="28" borderId="78" xfId="51" applyFont="1" applyFill="1" applyBorder="1" applyAlignment="1" applyProtection="1">
      <alignment horizontal="right" vertical="center" shrinkToFit="1"/>
      <protection locked="0"/>
    </xf>
    <xf numFmtId="0" fontId="49" fillId="28" borderId="119" xfId="51" applyFont="1" applyFill="1" applyBorder="1" applyAlignment="1" applyProtection="1">
      <alignment horizontal="right" vertical="center" shrinkToFit="1"/>
      <protection locked="0"/>
    </xf>
    <xf numFmtId="20" fontId="54" fillId="28" borderId="36" xfId="51" applyNumberFormat="1" applyFont="1" applyFill="1" applyBorder="1" applyAlignment="1" applyProtection="1">
      <alignment horizontal="right" vertical="center" shrinkToFit="1"/>
      <protection locked="0"/>
    </xf>
    <xf numFmtId="20" fontId="54" fillId="28" borderId="119" xfId="51" applyNumberFormat="1" applyFont="1" applyFill="1" applyBorder="1" applyAlignment="1" applyProtection="1">
      <alignment horizontal="right" vertical="center" shrinkToFit="1"/>
      <protection locked="0"/>
    </xf>
    <xf numFmtId="20" fontId="54" fillId="28" borderId="78" xfId="51" applyNumberFormat="1" applyFont="1" applyFill="1" applyBorder="1" applyAlignment="1" applyProtection="1">
      <alignment horizontal="right" vertical="center" shrinkToFit="1"/>
      <protection locked="0"/>
    </xf>
    <xf numFmtId="0" fontId="49" fillId="28" borderId="56" xfId="51" applyFont="1" applyFill="1" applyBorder="1" applyAlignment="1" applyProtection="1">
      <alignment horizontal="left" vertical="center" shrinkToFit="1"/>
      <protection locked="0"/>
    </xf>
    <xf numFmtId="0" fontId="49" fillId="28" borderId="76" xfId="51" applyFont="1" applyFill="1" applyBorder="1" applyAlignment="1" applyProtection="1">
      <alignment horizontal="left" vertical="center" shrinkToFit="1"/>
      <protection locked="0"/>
    </xf>
    <xf numFmtId="0" fontId="49" fillId="28" borderId="114" xfId="51" applyFont="1" applyFill="1" applyBorder="1" applyAlignment="1" applyProtection="1">
      <alignment horizontal="left" vertical="center" shrinkToFit="1"/>
      <protection locked="0"/>
    </xf>
    <xf numFmtId="0" fontId="49" fillId="28" borderId="56" xfId="51" applyFont="1" applyFill="1" applyBorder="1" applyAlignment="1" applyProtection="1">
      <alignment horizontal="right" vertical="center" shrinkToFit="1"/>
      <protection locked="0"/>
    </xf>
    <xf numFmtId="0" fontId="49" fillId="28" borderId="76" xfId="51" applyFont="1" applyFill="1" applyBorder="1" applyAlignment="1" applyProtection="1">
      <alignment horizontal="right" vertical="center" shrinkToFit="1"/>
      <protection locked="0"/>
    </xf>
    <xf numFmtId="0" fontId="49" fillId="28" borderId="114" xfId="51" applyFont="1" applyFill="1" applyBorder="1" applyAlignment="1" applyProtection="1">
      <alignment horizontal="right" vertical="center" shrinkToFit="1"/>
      <protection locked="0"/>
    </xf>
    <xf numFmtId="20" fontId="54" fillId="28" borderId="56" xfId="51" applyNumberFormat="1" applyFont="1" applyFill="1" applyBorder="1" applyAlignment="1" applyProtection="1">
      <alignment horizontal="right" vertical="center" shrinkToFit="1"/>
      <protection locked="0"/>
    </xf>
    <xf numFmtId="20" fontId="54" fillId="28" borderId="114" xfId="51" applyNumberFormat="1" applyFont="1" applyFill="1" applyBorder="1" applyAlignment="1" applyProtection="1">
      <alignment horizontal="right" vertical="center" shrinkToFit="1"/>
      <protection locked="0"/>
    </xf>
    <xf numFmtId="20" fontId="54" fillId="28" borderId="76" xfId="51" applyNumberFormat="1" applyFont="1" applyFill="1" applyBorder="1" applyAlignment="1" applyProtection="1">
      <alignment horizontal="right" vertical="center" shrinkToFit="1"/>
      <protection locked="0"/>
    </xf>
    <xf numFmtId="0" fontId="2" fillId="28" borderId="115" xfId="51" applyFont="1" applyFill="1" applyBorder="1" applyAlignment="1" applyProtection="1">
      <alignment vertical="center"/>
      <protection hidden="1"/>
    </xf>
    <xf numFmtId="0" fontId="2" fillId="28" borderId="2" xfId="51" applyFont="1" applyFill="1" applyBorder="1" applyAlignment="1" applyProtection="1">
      <alignment vertical="center"/>
      <protection hidden="1"/>
    </xf>
    <xf numFmtId="0" fontId="2" fillId="28" borderId="116" xfId="51" applyFont="1" applyFill="1" applyBorder="1" applyAlignment="1" applyProtection="1">
      <alignment vertical="center"/>
      <protection hidden="1"/>
    </xf>
    <xf numFmtId="0" fontId="1" fillId="28" borderId="117" xfId="51" applyFont="1" applyFill="1" applyBorder="1" applyAlignment="1" applyProtection="1">
      <alignment horizontal="left" vertical="center" shrinkToFit="1"/>
      <protection hidden="1"/>
    </xf>
    <xf numFmtId="0" fontId="2" fillId="28" borderId="2" xfId="51" applyFont="1" applyFill="1" applyBorder="1" applyAlignment="1" applyProtection="1">
      <alignment horizontal="left" vertical="center" shrinkToFit="1"/>
      <protection hidden="1"/>
    </xf>
    <xf numFmtId="0" fontId="2" fillId="28" borderId="64" xfId="51" applyFont="1" applyFill="1" applyBorder="1" applyAlignment="1" applyProtection="1">
      <alignment horizontal="left" vertical="center" shrinkToFit="1"/>
      <protection hidden="1"/>
    </xf>
    <xf numFmtId="0" fontId="2" fillId="28" borderId="118" xfId="51" applyFont="1" applyFill="1" applyBorder="1" applyAlignment="1" applyProtection="1">
      <alignment vertical="center"/>
      <protection hidden="1"/>
    </xf>
    <xf numFmtId="0" fontId="2" fillId="28" borderId="78" xfId="51" applyFont="1" applyFill="1" applyBorder="1" applyAlignment="1" applyProtection="1">
      <alignment vertical="center"/>
      <protection hidden="1"/>
    </xf>
    <xf numFmtId="0" fontId="2" fillId="28" borderId="119" xfId="51" applyFont="1" applyFill="1" applyBorder="1" applyAlignment="1" applyProtection="1">
      <alignment vertical="center"/>
      <protection hidden="1"/>
    </xf>
    <xf numFmtId="0" fontId="1" fillId="28" borderId="36" xfId="51" applyFont="1" applyFill="1" applyBorder="1" applyAlignment="1" applyProtection="1">
      <alignment horizontal="left" vertical="center" shrinkToFit="1"/>
      <protection hidden="1"/>
    </xf>
    <xf numFmtId="0" fontId="2" fillId="28" borderId="78" xfId="51" applyFont="1" applyFill="1" applyBorder="1" applyAlignment="1" applyProtection="1">
      <alignment horizontal="left" vertical="center" shrinkToFit="1"/>
      <protection hidden="1"/>
    </xf>
    <xf numFmtId="0" fontId="2" fillId="28" borderId="120" xfId="51" applyFont="1" applyFill="1" applyBorder="1" applyAlignment="1" applyProtection="1">
      <alignment horizontal="left" vertical="center" shrinkToFit="1"/>
      <protection hidden="1"/>
    </xf>
    <xf numFmtId="0" fontId="46" fillId="28" borderId="0" xfId="51" quotePrefix="1" applyFont="1" applyFill="1" applyBorder="1" applyAlignment="1" applyProtection="1">
      <alignment vertical="center"/>
      <protection hidden="1"/>
    </xf>
    <xf numFmtId="0" fontId="2" fillId="28" borderId="0" xfId="51" applyFont="1" applyFill="1" applyBorder="1" applyAlignment="1" applyProtection="1">
      <alignment vertical="center"/>
      <protection hidden="1"/>
    </xf>
    <xf numFmtId="0" fontId="2" fillId="24" borderId="158" xfId="51" applyFont="1" applyFill="1" applyBorder="1" applyAlignment="1" applyProtection="1">
      <alignment horizontal="center" vertical="center"/>
      <protection hidden="1"/>
    </xf>
    <xf numFmtId="0" fontId="2" fillId="24" borderId="59" xfId="51" applyFill="1" applyBorder="1" applyAlignment="1" applyProtection="1">
      <alignment horizontal="center" vertical="center"/>
      <protection hidden="1"/>
    </xf>
    <xf numFmtId="0" fontId="2" fillId="24" borderId="159" xfId="51" applyFill="1" applyBorder="1" applyAlignment="1" applyProtection="1">
      <alignment horizontal="center" vertical="center"/>
      <protection hidden="1"/>
    </xf>
    <xf numFmtId="0" fontId="2" fillId="0" borderId="36" xfId="51" applyNumberFormat="1" applyFont="1" applyFill="1" applyBorder="1" applyAlignment="1" applyProtection="1">
      <alignment horizontal="left" vertical="center" shrinkToFit="1"/>
      <protection hidden="1"/>
    </xf>
    <xf numFmtId="0" fontId="2" fillId="0" borderId="78" xfId="51" applyNumberFormat="1" applyFont="1" applyFill="1" applyBorder="1" applyAlignment="1" applyProtection="1">
      <alignment horizontal="left" vertical="center" shrinkToFit="1"/>
      <protection hidden="1"/>
    </xf>
    <xf numFmtId="0" fontId="2" fillId="0" borderId="120" xfId="51" applyNumberFormat="1" applyFont="1" applyFill="1" applyBorder="1" applyAlignment="1" applyProtection="1">
      <alignment horizontal="left" vertical="center" shrinkToFit="1"/>
      <protection hidden="1"/>
    </xf>
    <xf numFmtId="0" fontId="1" fillId="28" borderId="87" xfId="51" applyFont="1" applyFill="1" applyBorder="1" applyAlignment="1" applyProtection="1">
      <alignment vertical="center"/>
      <protection hidden="1"/>
    </xf>
    <xf numFmtId="0" fontId="1" fillId="28" borderId="76" xfId="51" applyFont="1" applyFill="1" applyBorder="1" applyAlignment="1" applyProtection="1">
      <alignment vertical="center"/>
      <protection hidden="1"/>
    </xf>
    <xf numFmtId="0" fontId="1" fillId="28" borderId="114" xfId="51" applyFont="1" applyFill="1" applyBorder="1" applyAlignment="1" applyProtection="1">
      <alignment vertical="center"/>
      <protection hidden="1"/>
    </xf>
    <xf numFmtId="203" fontId="1" fillId="28" borderId="56" xfId="51" quotePrefix="1" applyNumberFormat="1" applyFont="1" applyFill="1" applyBorder="1" applyAlignment="1" applyProtection="1">
      <alignment horizontal="center" vertical="center"/>
      <protection hidden="1"/>
    </xf>
    <xf numFmtId="203" fontId="2" fillId="28" borderId="76" xfId="51" applyNumberFormat="1" applyFont="1" applyFill="1" applyBorder="1" applyAlignment="1" applyProtection="1">
      <alignment horizontal="center" vertical="center"/>
      <protection hidden="1"/>
    </xf>
    <xf numFmtId="203" fontId="1" fillId="28" borderId="76" xfId="51" quotePrefix="1" applyNumberFormat="1" applyFont="1" applyFill="1" applyBorder="1" applyAlignment="1" applyProtection="1">
      <alignment horizontal="center" vertical="center"/>
      <protection hidden="1"/>
    </xf>
    <xf numFmtId="0" fontId="1" fillId="28" borderId="76" xfId="51" applyFont="1" applyFill="1" applyBorder="1" applyAlignment="1" applyProtection="1">
      <alignment horizontal="center" vertical="center"/>
      <protection hidden="1"/>
    </xf>
    <xf numFmtId="0" fontId="1" fillId="28" borderId="77" xfId="51" applyFont="1" applyFill="1" applyBorder="1" applyAlignment="1" applyProtection="1">
      <alignment horizontal="center" vertical="center"/>
      <protection hidden="1"/>
    </xf>
    <xf numFmtId="0" fontId="2" fillId="0" borderId="117" xfId="51" applyNumberFormat="1" applyFont="1" applyBorder="1" applyAlignment="1" applyProtection="1">
      <alignment horizontal="left" vertical="center" shrinkToFit="1"/>
      <protection hidden="1"/>
    </xf>
    <xf numFmtId="0" fontId="2" fillId="0" borderId="2" xfId="51" applyNumberFormat="1" applyFont="1" applyBorder="1" applyAlignment="1" applyProtection="1">
      <alignment horizontal="left" vertical="center" shrinkToFit="1"/>
      <protection hidden="1"/>
    </xf>
    <xf numFmtId="0" fontId="2" fillId="0" borderId="64" xfId="51" applyNumberFormat="1" applyFont="1" applyBorder="1" applyAlignment="1" applyProtection="1">
      <alignment horizontal="left" vertical="center" shrinkToFit="1"/>
      <protection hidden="1"/>
    </xf>
    <xf numFmtId="0" fontId="71" fillId="28" borderId="0" xfId="51" applyFont="1" applyFill="1" applyAlignment="1" applyProtection="1">
      <alignment horizontal="left" vertical="center"/>
      <protection hidden="1"/>
    </xf>
    <xf numFmtId="0" fontId="2" fillId="0" borderId="0" xfId="51" applyAlignment="1">
      <alignment vertical="center"/>
    </xf>
    <xf numFmtId="204" fontId="57" fillId="0" borderId="0" xfId="51" applyNumberFormat="1" applyFont="1" applyBorder="1" applyAlignment="1" applyProtection="1">
      <alignment horizontal="left" vertical="center"/>
      <protection hidden="1"/>
    </xf>
    <xf numFmtId="0" fontId="2" fillId="0" borderId="56" xfId="51" applyNumberFormat="1" applyFont="1" applyBorder="1" applyAlignment="1" applyProtection="1">
      <alignment horizontal="left" vertical="center" shrinkToFit="1"/>
      <protection hidden="1"/>
    </xf>
    <xf numFmtId="0" fontId="2" fillId="0" borderId="76" xfId="51" applyNumberFormat="1" applyFont="1" applyBorder="1" applyAlignment="1" applyProtection="1">
      <alignment horizontal="left" vertical="center" shrinkToFit="1"/>
      <protection hidden="1"/>
    </xf>
    <xf numFmtId="0" fontId="2" fillId="0" borderId="77" xfId="51" applyNumberFormat="1" applyFont="1" applyBorder="1" applyAlignment="1" applyProtection="1">
      <alignment horizontal="left" vertical="center" shrinkToFit="1"/>
      <protection hidden="1"/>
    </xf>
    <xf numFmtId="0" fontId="2" fillId="24" borderId="56" xfId="51" applyFont="1" applyFill="1" applyBorder="1" applyAlignment="1" applyProtection="1">
      <alignment horizontal="center" vertical="center"/>
      <protection hidden="1"/>
    </xf>
    <xf numFmtId="49" fontId="91" fillId="0" borderId="84" xfId="51" applyNumberFormat="1" applyFont="1" applyBorder="1" applyAlignment="1" applyProtection="1">
      <alignment horizontal="left" vertical="center" indent="1" shrinkToFit="1"/>
      <protection locked="0"/>
    </xf>
    <xf numFmtId="49" fontId="91" fillId="0" borderId="83" xfId="51" applyNumberFormat="1" applyFont="1" applyBorder="1" applyAlignment="1" applyProtection="1">
      <alignment horizontal="left" vertical="center" indent="1" shrinkToFit="1"/>
      <protection locked="0"/>
    </xf>
    <xf numFmtId="49" fontId="91" fillId="0" borderId="73" xfId="51" applyNumberFormat="1" applyFont="1" applyBorder="1" applyAlignment="1" applyProtection="1">
      <alignment horizontal="left" vertical="center" indent="1" shrinkToFit="1"/>
      <protection locked="0"/>
    </xf>
    <xf numFmtId="0" fontId="0" fillId="28" borderId="78" xfId="51" applyFont="1" applyFill="1" applyBorder="1" applyAlignment="1" applyProtection="1">
      <alignment vertical="center"/>
      <protection hidden="1"/>
    </xf>
    <xf numFmtId="194" fontId="2" fillId="28" borderId="36" xfId="51" applyNumberFormat="1" applyFont="1" applyFill="1" applyBorder="1" applyAlignment="1" applyProtection="1">
      <alignment horizontal="right" vertical="center" shrinkToFit="1"/>
      <protection hidden="1"/>
    </xf>
    <xf numFmtId="194" fontId="2" fillId="0" borderId="120" xfId="51" applyNumberFormat="1" applyBorder="1" applyAlignment="1" applyProtection="1">
      <alignment horizontal="right" vertical="center" shrinkToFit="1"/>
      <protection hidden="1"/>
    </xf>
    <xf numFmtId="0" fontId="0" fillId="0" borderId="59" xfId="51" applyFont="1" applyBorder="1" applyAlignment="1" applyProtection="1">
      <alignment horizontal="center" vertical="center"/>
      <protection hidden="1"/>
    </xf>
    <xf numFmtId="0" fontId="0" fillId="0" borderId="60" xfId="51" applyFont="1" applyBorder="1" applyAlignment="1" applyProtection="1">
      <alignment horizontal="center" vertical="center"/>
      <protection hidden="1"/>
    </xf>
    <xf numFmtId="0" fontId="0" fillId="0" borderId="51" xfId="51" applyFont="1" applyBorder="1" applyAlignment="1" applyProtection="1">
      <alignment horizontal="center" vertical="center"/>
      <protection hidden="1"/>
    </xf>
    <xf numFmtId="0" fontId="0" fillId="0" borderId="0" xfId="51" applyFont="1" applyBorder="1" applyAlignment="1" applyProtection="1">
      <alignment horizontal="center" vertical="center"/>
      <protection hidden="1"/>
    </xf>
    <xf numFmtId="0" fontId="0" fillId="0" borderId="31" xfId="51" applyFont="1" applyBorder="1" applyAlignment="1" applyProtection="1">
      <alignment horizontal="center" vertical="center"/>
      <protection hidden="1"/>
    </xf>
    <xf numFmtId="0" fontId="0" fillId="0" borderId="32" xfId="51" applyFont="1" applyBorder="1" applyAlignment="1" applyProtection="1">
      <alignment horizontal="center" vertical="center"/>
      <protection hidden="1"/>
    </xf>
    <xf numFmtId="0" fontId="0" fillId="0" borderId="33" xfId="51" applyFont="1" applyBorder="1" applyAlignment="1" applyProtection="1">
      <alignment horizontal="center" vertical="center"/>
      <protection hidden="1"/>
    </xf>
    <xf numFmtId="0" fontId="0" fillId="0" borderId="34" xfId="51" applyFont="1" applyBorder="1" applyAlignment="1" applyProtection="1">
      <alignment horizontal="center" vertical="center"/>
      <protection hidden="1"/>
    </xf>
    <xf numFmtId="49" fontId="91" fillId="28" borderId="82" xfId="51" applyNumberFormat="1" applyFont="1" applyFill="1" applyBorder="1" applyAlignment="1" applyProtection="1">
      <alignment horizontal="left" vertical="center" indent="1" shrinkToFit="1"/>
      <protection locked="0"/>
    </xf>
    <xf numFmtId="49" fontId="91" fillId="28" borderId="100" xfId="51" applyNumberFormat="1" applyFont="1" applyFill="1" applyBorder="1" applyAlignment="1" applyProtection="1">
      <alignment horizontal="left" vertical="center" indent="1" shrinkToFit="1"/>
      <protection locked="0"/>
    </xf>
    <xf numFmtId="49" fontId="91" fillId="28" borderId="72" xfId="51" applyNumberFormat="1" applyFont="1" applyFill="1" applyBorder="1" applyAlignment="1" applyProtection="1">
      <alignment horizontal="left" vertical="center" indent="1" shrinkToFit="1"/>
      <protection locked="0"/>
    </xf>
    <xf numFmtId="194" fontId="2" fillId="28" borderId="117" xfId="51" applyNumberFormat="1" applyFont="1" applyFill="1" applyBorder="1" applyAlignment="1" applyProtection="1">
      <alignment horizontal="right" vertical="center" shrinkToFit="1"/>
      <protection hidden="1"/>
    </xf>
    <xf numFmtId="194" fontId="2" fillId="0" borderId="64" xfId="51" applyNumberFormat="1" applyBorder="1" applyAlignment="1" applyProtection="1">
      <alignment horizontal="right" vertical="center" shrinkToFit="1"/>
      <protection hidden="1"/>
    </xf>
    <xf numFmtId="49" fontId="91" fillId="0" borderId="82" xfId="51" applyNumberFormat="1" applyFont="1" applyBorder="1" applyAlignment="1" applyProtection="1">
      <alignment horizontal="left" vertical="center" indent="1" shrinkToFit="1"/>
      <protection locked="0"/>
    </xf>
    <xf numFmtId="49" fontId="91" fillId="0" borderId="100" xfId="51" applyNumberFormat="1" applyFont="1" applyBorder="1" applyAlignment="1" applyProtection="1">
      <alignment horizontal="left" vertical="center" indent="1" shrinkToFit="1"/>
      <protection locked="0"/>
    </xf>
    <xf numFmtId="49" fontId="91" fillId="0" borderId="72" xfId="51" applyNumberFormat="1" applyFont="1" applyBorder="1" applyAlignment="1" applyProtection="1">
      <alignment horizontal="left" vertical="center" indent="1" shrinkToFit="1"/>
      <protection locked="0"/>
    </xf>
    <xf numFmtId="56" fontId="54" fillId="0" borderId="2" xfId="51" applyNumberFormat="1" applyFont="1" applyFill="1" applyBorder="1" applyAlignment="1" applyProtection="1">
      <alignment horizontal="center" vertical="center"/>
      <protection hidden="1"/>
    </xf>
    <xf numFmtId="0" fontId="54" fillId="0" borderId="2" xfId="51" applyFont="1" applyFill="1" applyBorder="1" applyAlignment="1" applyProtection="1">
      <alignment horizontal="center" vertical="center"/>
      <protection hidden="1"/>
    </xf>
    <xf numFmtId="0" fontId="2" fillId="0" borderId="2" xfId="51" applyFont="1" applyFill="1" applyBorder="1" applyAlignment="1" applyProtection="1">
      <alignment vertical="center"/>
      <protection hidden="1"/>
    </xf>
    <xf numFmtId="193" fontId="54" fillId="0" borderId="117" xfId="38" applyNumberFormat="1" applyFont="1" applyFill="1" applyBorder="1" applyAlignment="1" applyProtection="1">
      <alignment horizontal="right" vertical="center" shrinkToFit="1"/>
      <protection hidden="1"/>
    </xf>
    <xf numFmtId="0" fontId="2" fillId="0" borderId="64" xfId="51" applyFill="1" applyBorder="1" applyAlignment="1" applyProtection="1">
      <alignment horizontal="right" vertical="center" shrinkToFit="1"/>
      <protection hidden="1"/>
    </xf>
    <xf numFmtId="0" fontId="2" fillId="28" borderId="79" xfId="51" applyFont="1" applyFill="1" applyBorder="1" applyAlignment="1" applyProtection="1">
      <alignment vertical="center"/>
    </xf>
    <xf numFmtId="0" fontId="2" fillId="0" borderId="80" xfId="51" applyBorder="1" applyAlignment="1" applyProtection="1">
      <alignment vertical="center"/>
    </xf>
    <xf numFmtId="0" fontId="2" fillId="0" borderId="70" xfId="51" applyBorder="1" applyAlignment="1" applyProtection="1">
      <alignment vertical="center"/>
    </xf>
    <xf numFmtId="0" fontId="90" fillId="28" borderId="118" xfId="51" applyFont="1" applyFill="1" applyBorder="1" applyAlignment="1" applyProtection="1">
      <alignment horizontal="center" vertical="center" shrinkToFit="1"/>
      <protection locked="0"/>
    </xf>
    <xf numFmtId="0" fontId="90" fillId="28" borderId="119" xfId="51" applyFont="1" applyFill="1" applyBorder="1" applyAlignment="1" applyProtection="1">
      <alignment horizontal="center" vertical="center" shrinkToFit="1"/>
      <protection locked="0"/>
    </xf>
    <xf numFmtId="193" fontId="54" fillId="28" borderId="2" xfId="38" applyNumberFormat="1" applyFont="1" applyFill="1" applyBorder="1" applyAlignment="1" applyProtection="1">
      <alignment horizontal="right" vertical="center"/>
      <protection locked="0"/>
    </xf>
    <xf numFmtId="0" fontId="2" fillId="28" borderId="2" xfId="51" applyFont="1" applyFill="1" applyBorder="1" applyAlignment="1" applyProtection="1">
      <alignment horizontal="right" vertical="center"/>
      <protection locked="0"/>
    </xf>
    <xf numFmtId="0" fontId="2" fillId="0" borderId="116" xfId="51" applyBorder="1" applyAlignment="1" applyProtection="1">
      <alignment horizontal="right" vertical="center"/>
      <protection locked="0"/>
    </xf>
    <xf numFmtId="0" fontId="2" fillId="28" borderId="115" xfId="51" applyFont="1" applyFill="1" applyBorder="1" applyAlignment="1" applyProtection="1">
      <alignment horizontal="left" vertical="center"/>
      <protection hidden="1"/>
    </xf>
    <xf numFmtId="0" fontId="2" fillId="28" borderId="116" xfId="51" applyFont="1" applyFill="1" applyBorder="1" applyAlignment="1" applyProtection="1">
      <alignment horizontal="left" vertical="center"/>
      <protection hidden="1"/>
    </xf>
    <xf numFmtId="0" fontId="2" fillId="28" borderId="117" xfId="51" applyFont="1" applyFill="1" applyBorder="1" applyAlignment="1" applyProtection="1">
      <alignment vertical="center"/>
      <protection locked="0"/>
    </xf>
    <xf numFmtId="0" fontId="2" fillId="0" borderId="2" xfId="51" applyFont="1" applyBorder="1" applyAlignment="1" applyProtection="1">
      <alignment vertical="center"/>
      <protection locked="0"/>
    </xf>
    <xf numFmtId="56" fontId="90" fillId="0" borderId="2" xfId="51" applyNumberFormat="1" applyFont="1" applyBorder="1" applyAlignment="1" applyProtection="1">
      <alignment vertical="center"/>
      <protection locked="0"/>
    </xf>
    <xf numFmtId="0" fontId="90" fillId="0" borderId="2" xfId="51" applyFont="1" applyBorder="1" applyAlignment="1" applyProtection="1">
      <alignment vertical="center"/>
      <protection locked="0"/>
    </xf>
    <xf numFmtId="0" fontId="28" fillId="28" borderId="2" xfId="51" applyFont="1" applyFill="1" applyBorder="1" applyAlignment="1" applyProtection="1">
      <alignment horizontal="center" vertical="center"/>
      <protection hidden="1"/>
    </xf>
    <xf numFmtId="0" fontId="2" fillId="28" borderId="2" xfId="51" applyFont="1" applyFill="1" applyBorder="1" applyAlignment="1" applyProtection="1">
      <alignment horizontal="center" vertical="center"/>
      <protection hidden="1"/>
    </xf>
    <xf numFmtId="56" fontId="90" fillId="28" borderId="2" xfId="51" applyNumberFormat="1" applyFont="1" applyFill="1" applyBorder="1" applyAlignment="1" applyProtection="1">
      <alignment horizontal="center" vertical="center"/>
      <protection locked="0"/>
    </xf>
    <xf numFmtId="0" fontId="90" fillId="28" borderId="2" xfId="51" applyFont="1" applyFill="1" applyBorder="1" applyAlignment="1" applyProtection="1">
      <alignment horizontal="center" vertical="center"/>
      <protection locked="0"/>
    </xf>
    <xf numFmtId="0" fontId="1" fillId="28" borderId="2" xfId="51" applyFont="1" applyFill="1" applyBorder="1" applyAlignment="1" applyProtection="1">
      <alignment vertical="center"/>
      <protection hidden="1"/>
    </xf>
    <xf numFmtId="0" fontId="90" fillId="28" borderId="181" xfId="51" applyFont="1" applyFill="1" applyBorder="1" applyAlignment="1" applyProtection="1">
      <alignment horizontal="left" vertical="center" shrinkToFit="1"/>
      <protection locked="0"/>
    </xf>
    <xf numFmtId="0" fontId="90" fillId="28" borderId="157" xfId="51" applyFont="1" applyFill="1" applyBorder="1" applyAlignment="1" applyProtection="1">
      <alignment horizontal="left" vertical="center" shrinkToFit="1"/>
      <protection locked="0"/>
    </xf>
    <xf numFmtId="0" fontId="90" fillId="28" borderId="156" xfId="51" applyFont="1" applyFill="1" applyBorder="1" applyAlignment="1" applyProtection="1">
      <alignment horizontal="left" vertical="center" shrinkToFit="1"/>
      <protection locked="0"/>
    </xf>
    <xf numFmtId="0" fontId="90" fillId="28" borderId="117" xfId="51" applyFont="1" applyFill="1" applyBorder="1" applyAlignment="1" applyProtection="1">
      <alignment vertical="center"/>
      <protection locked="0"/>
    </xf>
    <xf numFmtId="56" fontId="90" fillId="28" borderId="2" xfId="51" applyNumberFormat="1" applyFont="1" applyFill="1" applyBorder="1" applyAlignment="1" applyProtection="1">
      <alignment vertical="center"/>
      <protection locked="0"/>
    </xf>
    <xf numFmtId="56" fontId="90" fillId="28" borderId="2" xfId="51" quotePrefix="1" applyNumberFormat="1" applyFont="1" applyFill="1" applyBorder="1" applyAlignment="1" applyProtection="1">
      <alignment horizontal="center" vertical="center"/>
      <protection locked="0"/>
    </xf>
    <xf numFmtId="0" fontId="1" fillId="28" borderId="155" xfId="51" applyFont="1" applyFill="1" applyBorder="1" applyAlignment="1" applyProtection="1">
      <alignment horizontal="left" vertical="center"/>
      <protection hidden="1"/>
    </xf>
    <xf numFmtId="0" fontId="1" fillId="28" borderId="156" xfId="51" applyFont="1" applyFill="1" applyBorder="1" applyAlignment="1" applyProtection="1">
      <alignment horizontal="left" vertical="center"/>
      <protection hidden="1"/>
    </xf>
    <xf numFmtId="0" fontId="1" fillId="28" borderId="51" xfId="51" applyFont="1" applyFill="1" applyBorder="1" applyAlignment="1" applyProtection="1">
      <alignment horizontal="left" vertical="center"/>
      <protection hidden="1"/>
    </xf>
    <xf numFmtId="0" fontId="1" fillId="28" borderId="154" xfId="51" applyFont="1" applyFill="1" applyBorder="1" applyAlignment="1" applyProtection="1">
      <alignment horizontal="left" vertical="center"/>
      <protection hidden="1"/>
    </xf>
    <xf numFmtId="0" fontId="1" fillId="28" borderId="121" xfId="51" applyFont="1" applyFill="1" applyBorder="1" applyAlignment="1" applyProtection="1">
      <alignment horizontal="left" vertical="center"/>
      <protection hidden="1"/>
    </xf>
    <xf numFmtId="0" fontId="1" fillId="28" borderId="153" xfId="51" applyFont="1" applyFill="1" applyBorder="1" applyAlignment="1" applyProtection="1">
      <alignment horizontal="left" vertical="center"/>
      <protection hidden="1"/>
    </xf>
    <xf numFmtId="0" fontId="90" fillId="28" borderId="2" xfId="51" applyFont="1" applyFill="1" applyBorder="1" applyAlignment="1" applyProtection="1">
      <alignment horizontal="center" vertical="center" shrinkToFit="1"/>
      <protection locked="0"/>
    </xf>
    <xf numFmtId="0" fontId="2" fillId="28" borderId="33" xfId="51" applyFont="1" applyFill="1" applyBorder="1" applyAlignment="1" applyProtection="1">
      <alignment horizontal="center" vertical="center"/>
      <protection hidden="1"/>
    </xf>
    <xf numFmtId="0" fontId="2" fillId="28" borderId="25" xfId="51" applyFont="1" applyFill="1" applyBorder="1" applyAlignment="1" applyProtection="1">
      <alignment horizontal="center" vertical="center"/>
      <protection hidden="1"/>
    </xf>
    <xf numFmtId="194" fontId="2" fillId="0" borderId="122" xfId="51" applyNumberFormat="1" applyBorder="1" applyAlignment="1" applyProtection="1">
      <alignment vertical="center" shrinkToFit="1"/>
      <protection hidden="1"/>
    </xf>
    <xf numFmtId="0" fontId="2" fillId="28" borderId="29" xfId="51" applyFont="1" applyFill="1" applyBorder="1" applyAlignment="1" applyProtection="1">
      <alignment vertical="center"/>
      <protection hidden="1"/>
    </xf>
    <xf numFmtId="0" fontId="2" fillId="0" borderId="1" xfId="51" applyBorder="1" applyAlignment="1" applyProtection="1">
      <alignment vertical="center"/>
      <protection hidden="1"/>
    </xf>
    <xf numFmtId="0" fontId="2" fillId="34" borderId="87" xfId="51" applyFont="1" applyFill="1" applyBorder="1" applyAlignment="1" applyProtection="1">
      <alignment vertical="center"/>
      <protection hidden="1"/>
    </xf>
    <xf numFmtId="0" fontId="2" fillId="34" borderId="114" xfId="51" applyFont="1" applyFill="1" applyBorder="1" applyAlignment="1" applyProtection="1">
      <alignment vertical="center"/>
      <protection hidden="1"/>
    </xf>
    <xf numFmtId="0" fontId="28" fillId="28" borderId="2" xfId="51" applyFont="1" applyFill="1" applyBorder="1" applyAlignment="1" applyProtection="1">
      <alignment horizontal="left" vertical="center" shrinkToFit="1"/>
      <protection locked="0"/>
    </xf>
    <xf numFmtId="0" fontId="28" fillId="28" borderId="116" xfId="51" applyFont="1" applyFill="1" applyBorder="1" applyAlignment="1" applyProtection="1">
      <alignment horizontal="left" vertical="center" shrinkToFit="1"/>
      <protection locked="0"/>
    </xf>
    <xf numFmtId="0" fontId="28" fillId="28" borderId="2" xfId="51" applyFont="1" applyFill="1" applyBorder="1" applyAlignment="1" applyProtection="1">
      <alignment horizontal="right" vertical="center" shrinkToFit="1"/>
      <protection locked="0"/>
    </xf>
    <xf numFmtId="0" fontId="28" fillId="28" borderId="116" xfId="51" applyFont="1" applyFill="1" applyBorder="1" applyAlignment="1" applyProtection="1">
      <alignment horizontal="right" vertical="center" shrinkToFit="1"/>
      <protection locked="0"/>
    </xf>
    <xf numFmtId="0" fontId="28" fillId="28" borderId="78" xfId="51" applyFont="1" applyFill="1" applyBorder="1" applyAlignment="1" applyProtection="1">
      <alignment horizontal="left" vertical="center" shrinkToFit="1"/>
      <protection locked="0"/>
    </xf>
    <xf numFmtId="0" fontId="28" fillId="28" borderId="119" xfId="51" applyFont="1" applyFill="1" applyBorder="1" applyAlignment="1" applyProtection="1">
      <alignment horizontal="left" vertical="center" shrinkToFit="1"/>
      <protection locked="0"/>
    </xf>
    <xf numFmtId="0" fontId="28" fillId="28" borderId="78" xfId="51" applyFont="1" applyFill="1" applyBorder="1" applyAlignment="1" applyProtection="1">
      <alignment horizontal="right" vertical="center" shrinkToFit="1"/>
      <protection locked="0"/>
    </xf>
    <xf numFmtId="0" fontId="28" fillId="28" borderId="119" xfId="51" applyFont="1" applyFill="1" applyBorder="1" applyAlignment="1" applyProtection="1">
      <alignment horizontal="right" vertical="center" shrinkToFit="1"/>
      <protection locked="0"/>
    </xf>
    <xf numFmtId="0" fontId="0" fillId="34" borderId="56" xfId="51" applyFont="1" applyFill="1" applyBorder="1" applyAlignment="1" applyProtection="1">
      <alignment horizontal="left" vertical="center" indent="11"/>
      <protection hidden="1"/>
    </xf>
    <xf numFmtId="0" fontId="0" fillId="34" borderId="76" xfId="51" applyFont="1" applyFill="1" applyBorder="1" applyAlignment="1" applyProtection="1">
      <alignment horizontal="left" vertical="center" indent="11"/>
      <protection hidden="1"/>
    </xf>
    <xf numFmtId="0" fontId="0" fillId="34" borderId="76" xfId="51" applyFont="1" applyFill="1" applyBorder="1" applyAlignment="1" applyProtection="1">
      <alignment horizontal="right" vertical="center"/>
      <protection hidden="1"/>
    </xf>
    <xf numFmtId="0" fontId="2" fillId="34" borderId="76" xfId="51" applyFont="1" applyFill="1" applyBorder="1" applyAlignment="1" applyProtection="1">
      <alignment horizontal="right" vertical="center"/>
      <protection hidden="1"/>
    </xf>
    <xf numFmtId="0" fontId="2" fillId="34" borderId="114" xfId="51" applyFont="1" applyFill="1" applyBorder="1" applyAlignment="1" applyProtection="1">
      <alignment horizontal="right" vertical="center"/>
      <protection hidden="1"/>
    </xf>
    <xf numFmtId="0" fontId="54" fillId="28" borderId="117" xfId="51" applyFont="1" applyFill="1" applyBorder="1" applyAlignment="1" applyProtection="1">
      <alignment horizontal="left" vertical="center" shrinkToFit="1"/>
      <protection locked="0"/>
    </xf>
    <xf numFmtId="0" fontId="2" fillId="28" borderId="2" xfId="51" applyFont="1" applyFill="1" applyBorder="1" applyAlignment="1" applyProtection="1">
      <alignment horizontal="left" vertical="center" shrinkToFit="1"/>
      <protection locked="0"/>
    </xf>
    <xf numFmtId="0" fontId="2" fillId="28" borderId="64" xfId="51" applyFont="1" applyFill="1" applyBorder="1" applyAlignment="1" applyProtection="1">
      <alignment horizontal="left" vertical="center" shrinkToFit="1"/>
      <protection locked="0"/>
    </xf>
    <xf numFmtId="0" fontId="28" fillId="28" borderId="75" xfId="51" applyFont="1" applyFill="1" applyBorder="1" applyAlignment="1" applyProtection="1">
      <alignment horizontal="left" vertical="center" shrinkToFit="1"/>
      <protection locked="0"/>
    </xf>
    <xf numFmtId="0" fontId="28" fillId="28" borderId="153" xfId="51" applyFont="1" applyFill="1" applyBorder="1" applyAlignment="1" applyProtection="1">
      <alignment horizontal="left" vertical="center" shrinkToFit="1"/>
      <protection locked="0"/>
    </xf>
    <xf numFmtId="0" fontId="49" fillId="28" borderId="152" xfId="51" applyFont="1" applyFill="1" applyBorder="1" applyAlignment="1" applyProtection="1">
      <alignment horizontal="right" vertical="center" shrinkToFit="1"/>
      <protection locked="0"/>
    </xf>
    <xf numFmtId="0" fontId="28" fillId="28" borderId="75" xfId="51" applyFont="1" applyFill="1" applyBorder="1" applyAlignment="1" applyProtection="1">
      <alignment horizontal="right" vertical="center" shrinkToFit="1"/>
      <protection locked="0"/>
    </xf>
    <xf numFmtId="0" fontId="28" fillId="28" borderId="153" xfId="51" applyFont="1" applyFill="1" applyBorder="1" applyAlignment="1" applyProtection="1">
      <alignment horizontal="right" vertical="center" shrinkToFit="1"/>
      <protection locked="0"/>
    </xf>
    <xf numFmtId="20" fontId="54" fillId="28" borderId="152" xfId="51" applyNumberFormat="1" applyFont="1" applyFill="1" applyBorder="1" applyAlignment="1" applyProtection="1">
      <alignment horizontal="right" vertical="center" shrinkToFit="1"/>
      <protection locked="0"/>
    </xf>
    <xf numFmtId="20" fontId="54" fillId="28" borderId="153" xfId="51" applyNumberFormat="1" applyFont="1" applyFill="1" applyBorder="1" applyAlignment="1" applyProtection="1">
      <alignment horizontal="right" vertical="center" shrinkToFit="1"/>
      <protection locked="0"/>
    </xf>
    <xf numFmtId="0" fontId="49" fillId="28" borderId="75" xfId="51" applyFont="1" applyFill="1" applyBorder="1" applyAlignment="1" applyProtection="1">
      <alignment horizontal="right" vertical="center" shrinkToFit="1"/>
      <protection locked="0"/>
    </xf>
    <xf numFmtId="0" fontId="49" fillId="28" borderId="153" xfId="51" applyFont="1" applyFill="1" applyBorder="1" applyAlignment="1" applyProtection="1">
      <alignment horizontal="right" vertical="center" shrinkToFit="1"/>
      <protection locked="0"/>
    </xf>
    <xf numFmtId="20" fontId="54" fillId="28" borderId="75" xfId="51" applyNumberFormat="1" applyFont="1" applyFill="1" applyBorder="1" applyAlignment="1" applyProtection="1">
      <alignment horizontal="right" vertical="center" shrinkToFit="1"/>
      <protection locked="0"/>
    </xf>
    <xf numFmtId="0" fontId="0" fillId="0" borderId="117" xfId="51" applyNumberFormat="1" applyFont="1" applyBorder="1" applyAlignment="1" applyProtection="1">
      <alignment horizontal="left" vertical="center" shrinkToFit="1"/>
      <protection locked="0"/>
    </xf>
    <xf numFmtId="0" fontId="25" fillId="28" borderId="0" xfId="51" applyFont="1" applyFill="1" applyAlignment="1" applyProtection="1">
      <alignment horizontal="left" vertical="center" shrinkToFit="1"/>
      <protection hidden="1"/>
    </xf>
    <xf numFmtId="0" fontId="2" fillId="0" borderId="0" xfId="51" applyAlignment="1">
      <alignment vertical="center" shrinkToFit="1"/>
    </xf>
    <xf numFmtId="0" fontId="54" fillId="28" borderId="36" xfId="51" applyFont="1" applyFill="1" applyBorder="1" applyAlignment="1" applyProtection="1">
      <alignment horizontal="left" vertical="center" shrinkToFit="1"/>
      <protection locked="0"/>
    </xf>
    <xf numFmtId="0" fontId="2" fillId="28" borderId="78" xfId="51" applyFont="1" applyFill="1" applyBorder="1" applyAlignment="1" applyProtection="1">
      <alignment horizontal="left" vertical="center" shrinkToFit="1"/>
      <protection locked="0"/>
    </xf>
    <xf numFmtId="0" fontId="2" fillId="28" borderId="120" xfId="51" applyFont="1" applyFill="1" applyBorder="1" applyAlignment="1" applyProtection="1">
      <alignment horizontal="left" vertical="center" shrinkToFit="1"/>
      <protection locked="0"/>
    </xf>
    <xf numFmtId="0" fontId="2" fillId="24" borderId="122" xfId="51" applyFont="1" applyFill="1" applyBorder="1" applyAlignment="1" applyProtection="1">
      <alignment horizontal="center" vertical="center"/>
      <protection hidden="1"/>
    </xf>
    <xf numFmtId="0" fontId="2" fillId="24" borderId="1" xfId="51" applyFill="1" applyBorder="1" applyAlignment="1" applyProtection="1">
      <alignment horizontal="center" vertical="center"/>
      <protection hidden="1"/>
    </xf>
    <xf numFmtId="0" fontId="2" fillId="24" borderId="141" xfId="51" applyFill="1" applyBorder="1" applyAlignment="1" applyProtection="1">
      <alignment horizontal="center" vertical="center"/>
      <protection hidden="1"/>
    </xf>
    <xf numFmtId="0" fontId="0" fillId="24" borderId="122" xfId="51" applyFont="1" applyFill="1" applyBorder="1" applyAlignment="1" applyProtection="1">
      <alignment horizontal="center" vertical="center"/>
      <protection hidden="1"/>
    </xf>
    <xf numFmtId="203" fontId="54" fillId="28" borderId="56" xfId="51" quotePrefix="1" applyNumberFormat="1" applyFont="1" applyFill="1" applyBorder="1" applyAlignment="1" applyProtection="1">
      <alignment horizontal="center" vertical="center"/>
      <protection locked="0"/>
    </xf>
    <xf numFmtId="203" fontId="2" fillId="28" borderId="76" xfId="51" applyNumberFormat="1" applyFont="1" applyFill="1" applyBorder="1" applyAlignment="1" applyProtection="1">
      <alignment horizontal="center" vertical="center"/>
      <protection locked="0"/>
    </xf>
    <xf numFmtId="203" fontId="54" fillId="28" borderId="76" xfId="51" quotePrefix="1" applyNumberFormat="1" applyFont="1" applyFill="1" applyBorder="1" applyAlignment="1" applyProtection="1">
      <alignment horizontal="center" vertical="center"/>
      <protection locked="0"/>
    </xf>
    <xf numFmtId="0" fontId="54" fillId="28" borderId="76" xfId="51" applyFont="1" applyFill="1" applyBorder="1" applyAlignment="1" applyProtection="1">
      <alignment horizontal="center" vertical="center"/>
      <protection hidden="1"/>
    </xf>
    <xf numFmtId="0" fontId="54" fillId="28" borderId="77" xfId="51" applyFont="1" applyFill="1" applyBorder="1" applyAlignment="1" applyProtection="1">
      <alignment horizontal="center" vertical="center"/>
      <protection hidden="1"/>
    </xf>
    <xf numFmtId="0" fontId="35" fillId="0" borderId="170" xfId="50" applyFont="1" applyBorder="1" applyAlignment="1" applyProtection="1">
      <alignment horizontal="center" shrinkToFit="1"/>
      <protection hidden="1"/>
    </xf>
    <xf numFmtId="0" fontId="77" fillId="0" borderId="0" xfId="0" applyFont="1" applyBorder="1" applyAlignment="1">
      <alignment vertical="top" wrapText="1"/>
    </xf>
    <xf numFmtId="0" fontId="78" fillId="0" borderId="0" xfId="50" applyFont="1" applyBorder="1" applyAlignment="1">
      <alignment vertical="top"/>
    </xf>
    <xf numFmtId="0" fontId="47" fillId="0" borderId="160" xfId="50" applyNumberFormat="1" applyFont="1" applyBorder="1" applyAlignment="1" applyProtection="1">
      <alignment wrapText="1"/>
      <protection hidden="1"/>
    </xf>
    <xf numFmtId="0" fontId="47" fillId="0" borderId="0" xfId="50" applyNumberFormat="1" applyFont="1" applyAlignment="1" applyProtection="1">
      <alignment wrapText="1"/>
      <protection hidden="1"/>
    </xf>
    <xf numFmtId="0" fontId="45" fillId="0" borderId="160" xfId="50" applyNumberFormat="1" applyFont="1" applyBorder="1" applyAlignment="1" applyProtection="1">
      <alignment wrapText="1"/>
      <protection hidden="1"/>
    </xf>
    <xf numFmtId="0" fontId="45" fillId="0" borderId="0" xfId="50" applyNumberFormat="1" applyFont="1" applyAlignment="1" applyProtection="1">
      <alignment wrapText="1"/>
      <protection hidden="1"/>
    </xf>
    <xf numFmtId="0" fontId="76" fillId="0" borderId="0" xfId="0" applyFont="1" applyBorder="1">
      <alignment vertical="center"/>
    </xf>
    <xf numFmtId="0" fontId="36" fillId="0" borderId="0" xfId="50" applyFont="1" applyAlignment="1" applyProtection="1">
      <alignment horizontal="center"/>
      <protection hidden="1"/>
    </xf>
    <xf numFmtId="0" fontId="26" fillId="26" borderId="117" xfId="50" applyFont="1" applyFill="1" applyBorder="1" applyAlignment="1" applyProtection="1">
      <alignment horizontal="left"/>
      <protection locked="0"/>
    </xf>
    <xf numFmtId="0" fontId="26" fillId="26" borderId="2" xfId="50" applyFont="1" applyFill="1" applyBorder="1" applyAlignment="1" applyProtection="1">
      <alignment horizontal="left"/>
      <protection locked="0"/>
    </xf>
    <xf numFmtId="0" fontId="26" fillId="26" borderId="116" xfId="50" applyFont="1" applyFill="1" applyBorder="1" applyAlignment="1" applyProtection="1">
      <alignment horizontal="left"/>
      <protection locked="0"/>
    </xf>
    <xf numFmtId="0" fontId="11" fillId="0" borderId="0" xfId="32" applyAlignment="1" applyProtection="1">
      <protection hidden="1"/>
    </xf>
    <xf numFmtId="0" fontId="45" fillId="0" borderId="160" xfId="50" applyFont="1" applyBorder="1" applyAlignment="1" applyProtection="1">
      <alignment wrapText="1"/>
      <protection hidden="1"/>
    </xf>
    <xf numFmtId="0" fontId="45" fillId="0" borderId="0" xfId="50" applyFont="1" applyAlignment="1" applyProtection="1">
      <alignment wrapText="1"/>
      <protection hidden="1"/>
    </xf>
    <xf numFmtId="0" fontId="45" fillId="0" borderId="0" xfId="50" applyFont="1" applyBorder="1" applyAlignment="1" applyProtection="1">
      <alignment wrapText="1"/>
      <protection hidden="1"/>
    </xf>
  </cellXfs>
  <cellStyles count="55">
    <cellStyle name="20% - アクセント 1" xfId="1" builtinId="30" customBuiltin="1"/>
    <cellStyle name="20% - アクセント 2" xfId="2" builtinId="34" customBuiltin="1"/>
    <cellStyle name="20% - アクセント 3" xfId="3" builtinId="38" customBuiltin="1"/>
    <cellStyle name="20% - アクセント 4" xfId="4" builtinId="42" customBuiltin="1"/>
    <cellStyle name="20% - アクセント 5" xfId="5" builtinId="46" customBuiltin="1"/>
    <cellStyle name="20% - アクセント 6" xfId="6" builtinId="50" customBuiltin="1"/>
    <cellStyle name="40% - アクセント 1" xfId="7" builtinId="31" customBuiltin="1"/>
    <cellStyle name="40% - アクセント 2" xfId="8" builtinId="35" customBuiltin="1"/>
    <cellStyle name="40% - アクセント 3" xfId="9" builtinId="39" customBuiltin="1"/>
    <cellStyle name="40% - アクセント 4" xfId="10" builtinId="43" customBuiltin="1"/>
    <cellStyle name="40% - アクセント 5" xfId="11" builtinId="47" customBuiltin="1"/>
    <cellStyle name="40% - アクセント 6" xfId="12" builtinId="51" customBuiltin="1"/>
    <cellStyle name="60% - アクセント 1" xfId="13" builtinId="32" customBuiltin="1"/>
    <cellStyle name="60% - アクセント 2" xfId="14" builtinId="36" customBuiltin="1"/>
    <cellStyle name="60% - アクセント 3" xfId="15" builtinId="40" customBuiltin="1"/>
    <cellStyle name="60% - アクセント 4" xfId="16" builtinId="44" customBuiltin="1"/>
    <cellStyle name="60% - アクセント 5" xfId="17" builtinId="48" customBuiltin="1"/>
    <cellStyle name="60% - アクセント 6" xfId="18" builtinId="52" customBuiltin="1"/>
    <cellStyle name="Calc Currency (0)" xfId="19" xr:uid="{00000000-0005-0000-0000-000012000000}"/>
    <cellStyle name="Header1" xfId="20" xr:uid="{00000000-0005-0000-0000-000013000000}"/>
    <cellStyle name="Header2" xfId="21" xr:uid="{00000000-0005-0000-0000-000014000000}"/>
    <cellStyle name="Normal_#18-Internet" xfId="22" xr:uid="{00000000-0005-0000-0000-000015000000}"/>
    <cellStyle name="アクセント 1" xfId="23" builtinId="29" customBuiltin="1"/>
    <cellStyle name="アクセント 2" xfId="24" builtinId="33" customBuiltin="1"/>
    <cellStyle name="アクセント 3" xfId="25" builtinId="37" customBuiltin="1"/>
    <cellStyle name="アクセント 4" xfId="26" builtinId="41" customBuiltin="1"/>
    <cellStyle name="アクセント 5" xfId="27" builtinId="45" customBuiltin="1"/>
    <cellStyle name="アクセント 6" xfId="28" builtinId="49" customBuiltin="1"/>
    <cellStyle name="タイトル" xfId="29" builtinId="15" customBuiltin="1"/>
    <cellStyle name="チェック セル" xfId="30" builtinId="23" customBuiltin="1"/>
    <cellStyle name="どちらでもない" xfId="31" builtinId="28" customBuiltin="1"/>
    <cellStyle name="ハイパーリンク" xfId="32" builtinId="8"/>
    <cellStyle name="メモ" xfId="33" builtinId="10" customBuiltin="1"/>
    <cellStyle name="リンク セル" xfId="34" builtinId="24" customBuiltin="1"/>
    <cellStyle name="悪い" xfId="35" builtinId="27" customBuiltin="1"/>
    <cellStyle name="計算" xfId="36" builtinId="22" customBuiltin="1"/>
    <cellStyle name="警告文" xfId="37" builtinId="11" customBuiltin="1"/>
    <cellStyle name="桁区切り" xfId="38" builtinId="6"/>
    <cellStyle name="見出し 1" xfId="39" builtinId="16" customBuiltin="1"/>
    <cellStyle name="見出し 2" xfId="40" builtinId="17" customBuiltin="1"/>
    <cellStyle name="見出し 3" xfId="41" builtinId="18" customBuiltin="1"/>
    <cellStyle name="見出し 4" xfId="42" builtinId="19" customBuiltin="1"/>
    <cellStyle name="集計" xfId="43" builtinId="25" customBuiltin="1"/>
    <cellStyle name="出力" xfId="44" builtinId="21" customBuiltin="1"/>
    <cellStyle name="説明文" xfId="45" builtinId="53" customBuiltin="1"/>
    <cellStyle name="通貨" xfId="46" builtinId="7"/>
    <cellStyle name="入力" xfId="47" builtinId="20" customBuiltin="1"/>
    <cellStyle name="標準" xfId="0" builtinId="0"/>
    <cellStyle name="標準 2" xfId="54" xr:uid="{00000000-0005-0000-0000-000030000000}"/>
    <cellStyle name="標準_Book1" xfId="48" xr:uid="{00000000-0005-0000-0000-000031000000}"/>
    <cellStyle name="標準_New" xfId="49" xr:uid="{00000000-0005-0000-0000-000032000000}"/>
    <cellStyle name="標準_作業時間報告書" xfId="50" xr:uid="{00000000-0005-0000-0000-000033000000}"/>
    <cellStyle name="標準_準委任帳票" xfId="51" xr:uid="{00000000-0005-0000-0000-000034000000}"/>
    <cellStyle name="標準_準委任帳票H20_3201" xfId="52" xr:uid="{00000000-0005-0000-0000-000035000000}"/>
    <cellStyle name="良い" xfId="53" builtinId="26" customBuiltin="1"/>
  </cellStyles>
  <dxfs count="50">
    <dxf>
      <fill>
        <patternFill patternType="solid">
          <bgColor indexed="26"/>
        </patternFill>
      </fill>
    </dxf>
    <dxf>
      <fill>
        <patternFill patternType="solid">
          <bgColor indexed="26"/>
        </patternFill>
      </fill>
    </dxf>
    <dxf>
      <fill>
        <patternFill patternType="solid">
          <bgColor indexed="26"/>
        </patternFill>
      </fill>
    </dxf>
    <dxf>
      <fill>
        <patternFill patternType="solid">
          <bgColor indexed="26"/>
        </patternFill>
      </fill>
    </dxf>
    <dxf>
      <fill>
        <patternFill patternType="solid">
          <bgColor indexed="26"/>
        </patternFill>
      </fill>
    </dxf>
    <dxf>
      <fill>
        <patternFill patternType="solid">
          <bgColor indexed="26"/>
        </patternFill>
      </fill>
    </dxf>
    <dxf>
      <fill>
        <patternFill patternType="solid">
          <bgColor indexed="26"/>
        </patternFill>
      </fill>
    </dxf>
    <dxf>
      <fill>
        <patternFill patternType="solid">
          <bgColor indexed="26"/>
        </patternFill>
      </fill>
    </dxf>
    <dxf>
      <fill>
        <patternFill patternType="solid">
          <bgColor indexed="26"/>
        </patternFill>
      </fill>
    </dxf>
    <dxf>
      <fill>
        <patternFill patternType="solid">
          <bgColor indexed="26"/>
        </patternFill>
      </fill>
    </dxf>
    <dxf>
      <border>
        <left/>
        <top/>
        <bottom/>
      </border>
    </dxf>
    <dxf>
      <fill>
        <patternFill>
          <bgColor indexed="26"/>
        </patternFill>
      </fill>
    </dxf>
    <dxf>
      <font>
        <b/>
        <i val="0"/>
        <condense val="0"/>
        <extend val="0"/>
        <color auto="1"/>
      </font>
      <fill>
        <patternFill>
          <bgColor indexed="10"/>
        </patternFill>
      </fill>
    </dxf>
    <dxf>
      <font>
        <b val="0"/>
        <i val="0"/>
        <condense val="0"/>
        <extend val="0"/>
        <color auto="1"/>
      </font>
      <fill>
        <patternFill>
          <bgColor indexed="26"/>
        </patternFill>
      </fill>
    </dxf>
    <dxf>
      <font>
        <b/>
        <i val="0"/>
        <condense val="0"/>
        <extend val="0"/>
        <color auto="1"/>
      </font>
      <fill>
        <patternFill patternType="solid">
          <bgColor indexed="10"/>
        </patternFill>
      </fill>
    </dxf>
    <dxf>
      <font>
        <b/>
        <i val="0"/>
        <condense val="0"/>
        <extend val="0"/>
        <color indexed="10"/>
      </font>
    </dxf>
    <dxf>
      <fill>
        <patternFill patternType="solid">
          <bgColor indexed="26"/>
        </patternFill>
      </fill>
    </dxf>
    <dxf>
      <font>
        <b/>
        <i val="0"/>
        <condense val="0"/>
        <extend val="0"/>
        <color indexed="14"/>
      </font>
    </dxf>
    <dxf>
      <font>
        <b/>
        <i val="0"/>
        <condense val="0"/>
        <extend val="0"/>
        <color indexed="39"/>
      </font>
    </dxf>
    <dxf>
      <font>
        <b/>
        <i val="0"/>
        <condense val="0"/>
        <extend val="0"/>
        <color indexed="10"/>
      </font>
    </dxf>
    <dxf>
      <font>
        <b/>
        <i val="0"/>
        <strike val="0"/>
        <condense val="0"/>
        <extend val="0"/>
        <color indexed="10"/>
      </fon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indexed="26"/>
        </patternFill>
      </fill>
    </dxf>
    <dxf>
      <font>
        <b/>
        <i val="0"/>
        <condense val="0"/>
        <extend val="0"/>
        <color auto="1"/>
      </font>
      <fill>
        <patternFill>
          <bgColor indexed="10"/>
        </patternFill>
      </fill>
    </dxf>
    <dxf>
      <font>
        <b val="0"/>
        <i val="0"/>
        <condense val="0"/>
        <extend val="0"/>
        <color auto="1"/>
      </font>
      <fill>
        <patternFill>
          <bgColor indexed="26"/>
        </patternFill>
      </fill>
    </dxf>
    <dxf>
      <font>
        <b/>
        <i val="0"/>
        <condense val="0"/>
        <extend val="0"/>
        <color auto="1"/>
      </font>
      <fill>
        <patternFill patternType="solid">
          <bgColor indexed="10"/>
        </patternFill>
      </fill>
    </dxf>
    <dxf>
      <fill>
        <patternFill patternType="solid">
          <bgColor indexed="26"/>
        </patternFill>
      </fill>
    </dxf>
    <dxf>
      <font>
        <b/>
        <i val="0"/>
        <condense val="0"/>
        <extend val="0"/>
        <color indexed="14"/>
      </font>
    </dxf>
    <dxf>
      <font>
        <b/>
        <i val="0"/>
        <condense val="0"/>
        <extend val="0"/>
        <color indexed="39"/>
      </font>
    </dxf>
    <dxf>
      <font>
        <b/>
        <i val="0"/>
        <condense val="0"/>
        <extend val="0"/>
        <color indexed="10"/>
      </font>
    </dxf>
    <dxf>
      <border>
        <left/>
        <top/>
        <bottom/>
      </border>
    </dxf>
    <dxf>
      <fill>
        <patternFill>
          <bgColor indexed="26"/>
        </patternFill>
      </fill>
    </dxf>
    <dxf>
      <font>
        <b/>
        <i val="0"/>
        <condense val="0"/>
        <extend val="0"/>
        <color auto="1"/>
      </font>
      <fill>
        <patternFill>
          <bgColor indexed="10"/>
        </patternFill>
      </fill>
    </dxf>
    <dxf>
      <font>
        <b val="0"/>
        <i val="0"/>
        <condense val="0"/>
        <extend val="0"/>
        <color auto="1"/>
      </font>
      <fill>
        <patternFill>
          <bgColor indexed="26"/>
        </patternFill>
      </fill>
    </dxf>
    <dxf>
      <font>
        <b/>
        <i val="0"/>
        <condense val="0"/>
        <extend val="0"/>
        <color auto="1"/>
      </font>
      <fill>
        <patternFill patternType="solid">
          <bgColor indexed="10"/>
        </patternFill>
      </fill>
    </dxf>
    <dxf>
      <font>
        <b/>
        <i val="0"/>
        <condense val="0"/>
        <extend val="0"/>
        <color indexed="10"/>
      </font>
    </dxf>
    <dxf>
      <fill>
        <patternFill patternType="solid">
          <bgColor indexed="26"/>
        </patternFill>
      </fill>
    </dxf>
    <dxf>
      <font>
        <b/>
        <i val="0"/>
        <condense val="0"/>
        <extend val="0"/>
        <color indexed="14"/>
      </font>
    </dxf>
    <dxf>
      <font>
        <b/>
        <i val="0"/>
        <condense val="0"/>
        <extend val="0"/>
        <color indexed="39"/>
      </font>
    </dxf>
    <dxf>
      <font>
        <b/>
        <i val="0"/>
        <condense val="0"/>
        <extend val="0"/>
        <color indexed="10"/>
      </font>
    </dxf>
    <dxf>
      <font>
        <b/>
        <i val="0"/>
        <condense val="0"/>
        <extend val="0"/>
        <color indexed="39"/>
      </font>
    </dxf>
    <dxf>
      <font>
        <b/>
        <i val="0"/>
        <condense val="0"/>
        <extend val="0"/>
        <color indexed="10"/>
      </font>
    </dxf>
    <dxf>
      <fill>
        <patternFill>
          <bgColor indexed="26"/>
        </patternFill>
      </fill>
    </dxf>
    <dxf>
      <font>
        <b/>
        <i val="0"/>
        <condense val="0"/>
        <extend val="0"/>
        <color auto="1"/>
      </font>
      <fill>
        <patternFill>
          <bgColor indexed="10"/>
        </patternFill>
      </fill>
    </dxf>
    <dxf>
      <fill>
        <patternFill>
          <bgColor rgb="FFFF0000"/>
        </patternFill>
      </fill>
    </dxf>
  </dxfs>
  <tableStyles count="0" defaultTableStyle="TableStyleMedium9" defaultPivotStyle="PivotStyleLight16"/>
  <colors>
    <mruColors>
      <color rgb="FF0000FF"/>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ctrlProps/ctrlProp1.xml><?xml version="1.0" encoding="utf-8"?>
<formControlPr xmlns="http://schemas.microsoft.com/office/spreadsheetml/2009/9/main" objectType="Spin" dx="14" fmlaLink="$E$15" max="243" min="231" page="10" val="238"/>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fmlaLink="$C$19" lockText="1"/>
</file>

<file path=xl/ctrlProps/ctrlProp4.xml><?xml version="1.0" encoding="utf-8"?>
<formControlPr xmlns="http://schemas.microsoft.com/office/spreadsheetml/2009/9/main" objectType="CheckBox" fmlaLink="$C$20" lockText="1"/>
</file>

<file path=xl/ctrlProps/ctrlProp5.xml><?xml version="1.0" encoding="utf-8"?>
<formControlPr xmlns="http://schemas.microsoft.com/office/spreadsheetml/2009/9/main" objectType="CheckBox" fmlaLink="$C$17"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3</xdr:col>
      <xdr:colOff>438150</xdr:colOff>
      <xdr:row>88</xdr:row>
      <xdr:rowOff>47625</xdr:rowOff>
    </xdr:from>
    <xdr:to>
      <xdr:col>7</xdr:col>
      <xdr:colOff>85725</xdr:colOff>
      <xdr:row>96</xdr:row>
      <xdr:rowOff>123825</xdr:rowOff>
    </xdr:to>
    <xdr:sp macro="" textlink="">
      <xdr:nvSpPr>
        <xdr:cNvPr id="50268" name="Oval 2">
          <a:extLst>
            <a:ext uri="{FF2B5EF4-FFF2-40B4-BE49-F238E27FC236}">
              <a16:creationId xmlns:a16="http://schemas.microsoft.com/office/drawing/2014/main" id="{00000000-0008-0000-0000-00005CC40000}"/>
            </a:ext>
          </a:extLst>
        </xdr:cNvPr>
        <xdr:cNvSpPr>
          <a:spLocks noChangeArrowheads="1"/>
        </xdr:cNvSpPr>
      </xdr:nvSpPr>
      <xdr:spPr bwMode="auto">
        <a:xfrm>
          <a:off x="657225" y="12315825"/>
          <a:ext cx="1209675" cy="1581150"/>
        </a:xfrm>
        <a:prstGeom prst="ellipse">
          <a:avLst/>
        </a:prstGeom>
        <a:noFill/>
        <a:ln w="38100">
          <a:solidFill>
            <a:srgbClr val="FF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xdr:col>
      <xdr:colOff>0</xdr:colOff>
      <xdr:row>171</xdr:row>
      <xdr:rowOff>9525</xdr:rowOff>
    </xdr:from>
    <xdr:to>
      <xdr:col>13</xdr:col>
      <xdr:colOff>9525</xdr:colOff>
      <xdr:row>171</xdr:row>
      <xdr:rowOff>171450</xdr:rowOff>
    </xdr:to>
    <xdr:sp macro="" textlink="">
      <xdr:nvSpPr>
        <xdr:cNvPr id="50269" name="Line 11">
          <a:extLst>
            <a:ext uri="{FF2B5EF4-FFF2-40B4-BE49-F238E27FC236}">
              <a16:creationId xmlns:a16="http://schemas.microsoft.com/office/drawing/2014/main" id="{00000000-0008-0000-0000-00005DC40000}"/>
            </a:ext>
          </a:extLst>
        </xdr:cNvPr>
        <xdr:cNvSpPr>
          <a:spLocks noChangeShapeType="1"/>
        </xdr:cNvSpPr>
      </xdr:nvSpPr>
      <xdr:spPr bwMode="auto">
        <a:xfrm flipV="1">
          <a:off x="219075" y="24793575"/>
          <a:ext cx="6791325" cy="1524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409575</xdr:colOff>
      <xdr:row>16</xdr:row>
      <xdr:rowOff>66675</xdr:rowOff>
    </xdr:from>
    <xdr:to>
      <xdr:col>2</xdr:col>
      <xdr:colOff>2171700</xdr:colOff>
      <xdr:row>21</xdr:row>
      <xdr:rowOff>161925</xdr:rowOff>
    </xdr:to>
    <xdr:sp macro="" textlink="">
      <xdr:nvSpPr>
        <xdr:cNvPr id="10310" name="Rectangle 1">
          <a:extLst>
            <a:ext uri="{FF2B5EF4-FFF2-40B4-BE49-F238E27FC236}">
              <a16:creationId xmlns:a16="http://schemas.microsoft.com/office/drawing/2014/main" id="{00000000-0008-0000-0100-000046280000}"/>
            </a:ext>
          </a:extLst>
        </xdr:cNvPr>
        <xdr:cNvSpPr>
          <a:spLocks noChangeArrowheads="1"/>
        </xdr:cNvSpPr>
      </xdr:nvSpPr>
      <xdr:spPr bwMode="auto">
        <a:xfrm>
          <a:off x="409575" y="3857625"/>
          <a:ext cx="2181225" cy="952500"/>
        </a:xfrm>
        <a:prstGeom prst="rect">
          <a:avLst/>
        </a:prstGeom>
        <a:solidFill>
          <a:srgbClr val="FFCC99">
            <a:alpha val="50195"/>
          </a:srgbClr>
        </a:solidFill>
        <a:ln w="9525">
          <a:solidFill>
            <a:srgbClr val="000000"/>
          </a:solidFill>
          <a:miter lim="800000"/>
          <a:headEnd/>
          <a:tailEnd/>
        </a:ln>
      </xdr:spPr>
    </xdr:sp>
    <xdr:clientData/>
  </xdr:twoCellAnchor>
  <mc:AlternateContent xmlns:mc="http://schemas.openxmlformats.org/markup-compatibility/2006">
    <mc:Choice xmlns:a14="http://schemas.microsoft.com/office/drawing/2010/main" Requires="a14">
      <xdr:twoCellAnchor>
        <xdr:from>
          <xdr:col>3</xdr:col>
          <xdr:colOff>0</xdr:colOff>
          <xdr:row>14</xdr:row>
          <xdr:rowOff>28575</xdr:rowOff>
        </xdr:from>
        <xdr:to>
          <xdr:col>3</xdr:col>
          <xdr:colOff>342900</xdr:colOff>
          <xdr:row>15</xdr:row>
          <xdr:rowOff>19050</xdr:rowOff>
        </xdr:to>
        <xdr:sp macro="" textlink="">
          <xdr:nvSpPr>
            <xdr:cNvPr id="10242" name="Spinner 1"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733425</xdr:colOff>
          <xdr:row>16</xdr:row>
          <xdr:rowOff>85725</xdr:rowOff>
        </xdr:from>
        <xdr:to>
          <xdr:col>4</xdr:col>
          <xdr:colOff>895350</xdr:colOff>
          <xdr:row>20</xdr:row>
          <xdr:rowOff>47625</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100-00000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ja-JP" altLang="en-US" sz="1600" b="1" i="0" u="none" strike="noStrike" baseline="0">
                  <a:solidFill>
                    <a:srgbClr val="000000"/>
                  </a:solidFill>
                  <a:latin typeface="ＭＳ Ｐゴシック"/>
                  <a:ea typeface="ＭＳ Ｐゴシック"/>
                </a:rPr>
                <a:t>この月を</a:t>
              </a:r>
            </a:p>
            <a:p>
              <a:pPr algn="ctr" rtl="0">
                <a:defRPr sz="1000"/>
              </a:pPr>
              <a:r>
                <a:rPr lang="ja-JP" altLang="en-US" sz="1600" b="1" i="0" u="none" strike="noStrike" baseline="0">
                  <a:solidFill>
                    <a:srgbClr val="000000"/>
                  </a:solidFill>
                  <a:latin typeface="ＭＳ Ｐゴシック"/>
                  <a:ea typeface="ＭＳ Ｐゴシック"/>
                </a:rPr>
                <a:t>新規作成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257175</xdr:colOff>
          <xdr:row>18</xdr:row>
          <xdr:rowOff>95250</xdr:rowOff>
        </xdr:from>
        <xdr:to>
          <xdr:col>2</xdr:col>
          <xdr:colOff>2057400</xdr:colOff>
          <xdr:row>19</xdr:row>
          <xdr:rowOff>133350</xdr:rowOff>
        </xdr:to>
        <xdr:sp macro="" textlink="">
          <xdr:nvSpPr>
            <xdr:cNvPr id="10246" name="Kintai3" descr="チェック 1" hidden="1">
              <a:extLst>
                <a:ext uri="{63B3BB69-23CF-44E3-9099-C40C66FF867C}">
                  <a14:compatExt spid="_x0000_s10246"/>
                </a:ext>
                <a:ext uri="{FF2B5EF4-FFF2-40B4-BE49-F238E27FC236}">
                  <a16:creationId xmlns:a16="http://schemas.microsoft.com/office/drawing/2014/main" id="{00000000-0008-0000-0100-000006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交通費請求明細書</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257175</xdr:colOff>
          <xdr:row>20</xdr:row>
          <xdr:rowOff>47625</xdr:rowOff>
        </xdr:from>
        <xdr:to>
          <xdr:col>2</xdr:col>
          <xdr:colOff>2057400</xdr:colOff>
          <xdr:row>21</xdr:row>
          <xdr:rowOff>85725</xdr:rowOff>
        </xdr:to>
        <xdr:sp macro="" textlink="">
          <xdr:nvSpPr>
            <xdr:cNvPr id="10247" name="Kintai4" descr="チェック 1" hidden="1">
              <a:extLst>
                <a:ext uri="{63B3BB69-23CF-44E3-9099-C40C66FF867C}">
                  <a14:compatExt spid="_x0000_s10247"/>
                </a:ext>
                <a:ext uri="{FF2B5EF4-FFF2-40B4-BE49-F238E27FC236}">
                  <a16:creationId xmlns:a16="http://schemas.microsoft.com/office/drawing/2014/main" id="{00000000-0008-0000-0100-000007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出張旅費精算書</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xdr:row>
          <xdr:rowOff>352425</xdr:rowOff>
        </xdr:from>
        <xdr:to>
          <xdr:col>4</xdr:col>
          <xdr:colOff>971550</xdr:colOff>
          <xdr:row>3</xdr:row>
          <xdr:rowOff>9525</xdr:rowOff>
        </xdr:to>
        <xdr:sp macro="" textlink="">
          <xdr:nvSpPr>
            <xdr:cNvPr id="10248" name="Label1" hidden="1">
              <a:extLst>
                <a:ext uri="{63B3BB69-23CF-44E3-9099-C40C66FF867C}">
                  <a14:compatExt spid="_x0000_s10248"/>
                </a:ext>
                <a:ext uri="{FF2B5EF4-FFF2-40B4-BE49-F238E27FC236}">
                  <a16:creationId xmlns:a16="http://schemas.microsoft.com/office/drawing/2014/main" id="{00000000-0008-0000-0100-000008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257175</xdr:colOff>
          <xdr:row>16</xdr:row>
          <xdr:rowOff>142875</xdr:rowOff>
        </xdr:from>
        <xdr:to>
          <xdr:col>2</xdr:col>
          <xdr:colOff>2057400</xdr:colOff>
          <xdr:row>18</xdr:row>
          <xdr:rowOff>9525</xdr:rowOff>
        </xdr:to>
        <xdr:sp macro="" textlink="">
          <xdr:nvSpPr>
            <xdr:cNvPr id="10252" name="Check Box 12" descr="チェック 1" hidden="1">
              <a:extLst>
                <a:ext uri="{63B3BB69-23CF-44E3-9099-C40C66FF867C}">
                  <a14:compatExt spid="_x0000_s10252"/>
                </a:ext>
                <a:ext uri="{FF2B5EF4-FFF2-40B4-BE49-F238E27FC236}">
                  <a16:creationId xmlns:a16="http://schemas.microsoft.com/office/drawing/2014/main" id="{00000000-0008-0000-0100-00000C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作業時間報告書</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733425</xdr:colOff>
          <xdr:row>20</xdr:row>
          <xdr:rowOff>104775</xdr:rowOff>
        </xdr:from>
        <xdr:to>
          <xdr:col>4</xdr:col>
          <xdr:colOff>895350</xdr:colOff>
          <xdr:row>22</xdr:row>
          <xdr:rowOff>9525</xdr:rowOff>
        </xdr:to>
        <xdr:sp macro="" textlink="">
          <xdr:nvSpPr>
            <xdr:cNvPr id="10255" name="Button 15" hidden="1">
              <a:extLst>
                <a:ext uri="{63B3BB69-23CF-44E3-9099-C40C66FF867C}">
                  <a14:compatExt spid="_x0000_s10255"/>
                </a:ext>
                <a:ext uri="{FF2B5EF4-FFF2-40B4-BE49-F238E27FC236}">
                  <a16:creationId xmlns:a16="http://schemas.microsoft.com/office/drawing/2014/main" id="{00000000-0008-0000-0100-00000F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FF00FF"/>
                  </a:solidFill>
                  <a:latin typeface="ＭＳ Ｐゴシック"/>
                  <a:ea typeface="ＭＳ Ｐゴシック"/>
                </a:rPr>
                <a:t>祝日テーブルの変更</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11</xdr:col>
      <xdr:colOff>123825</xdr:colOff>
      <xdr:row>41</xdr:row>
      <xdr:rowOff>47625</xdr:rowOff>
    </xdr:from>
    <xdr:to>
      <xdr:col>12</xdr:col>
      <xdr:colOff>990600</xdr:colOff>
      <xdr:row>46</xdr:row>
      <xdr:rowOff>197235</xdr:rowOff>
    </xdr:to>
    <xdr:grpSp>
      <xdr:nvGrpSpPr>
        <xdr:cNvPr id="2" name="グループ化 1">
          <a:extLst>
            <a:ext uri="{FF2B5EF4-FFF2-40B4-BE49-F238E27FC236}">
              <a16:creationId xmlns:a16="http://schemas.microsoft.com/office/drawing/2014/main" id="{5A86630C-FAD5-4EF1-836B-27FCA8AB0AA7}"/>
            </a:ext>
          </a:extLst>
        </xdr:cNvPr>
        <xdr:cNvGrpSpPr/>
      </xdr:nvGrpSpPr>
      <xdr:grpSpPr>
        <a:xfrm>
          <a:off x="5507521" y="9672016"/>
          <a:ext cx="1620492" cy="1085545"/>
          <a:chOff x="2176365" y="690929"/>
          <a:chExt cx="1717162" cy="1092585"/>
        </a:xfrm>
      </xdr:grpSpPr>
      <xdr:sp macro="" textlink="">
        <xdr:nvSpPr>
          <xdr:cNvPr id="3" name="AutoShape 342">
            <a:extLst>
              <a:ext uri="{FF2B5EF4-FFF2-40B4-BE49-F238E27FC236}">
                <a16:creationId xmlns:a16="http://schemas.microsoft.com/office/drawing/2014/main" id="{C29525C3-79E0-4F80-BFEA-C1EB183043A7}"/>
              </a:ext>
            </a:extLst>
          </xdr:cNvPr>
          <xdr:cNvSpPr>
            <a:spLocks noChangeAspect="1" noChangeArrowheads="1" noTextEdit="1"/>
          </xdr:cNvSpPr>
        </xdr:nvSpPr>
        <xdr:spPr bwMode="auto">
          <a:xfrm>
            <a:off x="2184888" y="690929"/>
            <a:ext cx="1708639" cy="1089513"/>
          </a:xfrm>
          <a:prstGeom prst="rect">
            <a:avLst/>
          </a:prstGeom>
          <a:noFill/>
          <a:ln w="19050">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4" name="Rectangle 344">
            <a:extLst>
              <a:ext uri="{FF2B5EF4-FFF2-40B4-BE49-F238E27FC236}">
                <a16:creationId xmlns:a16="http://schemas.microsoft.com/office/drawing/2014/main" id="{0AED879F-9A96-415C-B4BF-35EC250A45FC}"/>
              </a:ext>
            </a:extLst>
          </xdr:cNvPr>
          <xdr:cNvSpPr>
            <a:spLocks noChangeArrowheads="1"/>
          </xdr:cNvSpPr>
        </xdr:nvSpPr>
        <xdr:spPr bwMode="auto">
          <a:xfrm>
            <a:off x="2415621" y="915219"/>
            <a:ext cx="398716" cy="180975"/>
          </a:xfrm>
          <a:prstGeom prst="rect">
            <a:avLst/>
          </a:prstGeom>
          <a:noFill/>
          <a:ln w="9525">
            <a:noFill/>
            <a:miter lim="800000"/>
            <a:headEnd/>
            <a:tailEnd/>
          </a:ln>
          <a:extLst>
            <a:ext uri="{909E8E84-426E-40DD-AFC4-6F175D3DCCD1}">
              <a14:hiddenFill xmlns:a14="http://schemas.microsoft.com/office/drawing/2010/main">
                <a:solidFill>
                  <a:srgbClr val="FFFFFF"/>
                </a:solidFill>
              </a14:hiddenFill>
            </a:ext>
          </a:extLst>
        </xdr:spPr>
        <xdr:txBody>
          <a:bodyPr wrap="square" lIns="0" tIns="0" rIns="0" bIns="0" anchor="t">
            <a:noAutofit/>
          </a:bodyPr>
          <a:lstStyle/>
          <a:p>
            <a:pPr algn="l" rtl="0">
              <a:defRPr sz="1000"/>
            </a:pPr>
            <a:r>
              <a:rPr lang="ja-JP" altLang="en-US" sz="1100" b="0" i="0" u="none" strike="noStrike" baseline="0">
                <a:solidFill>
                  <a:srgbClr val="000000"/>
                </a:solidFill>
                <a:latin typeface="ＭＳ Ｐゴシック"/>
                <a:ea typeface="ＭＳ Ｐゴシック"/>
              </a:rPr>
              <a:t>確認</a:t>
            </a:r>
            <a:endParaRPr lang="ja-JP" altLang="en-US"/>
          </a:p>
        </xdr:txBody>
      </xdr:sp>
      <xdr:sp macro="" textlink="">
        <xdr:nvSpPr>
          <xdr:cNvPr id="5" name="Rectangle 345">
            <a:extLst>
              <a:ext uri="{FF2B5EF4-FFF2-40B4-BE49-F238E27FC236}">
                <a16:creationId xmlns:a16="http://schemas.microsoft.com/office/drawing/2014/main" id="{8234F566-6D6D-42A8-99EA-831B8D1A85F8}"/>
              </a:ext>
            </a:extLst>
          </xdr:cNvPr>
          <xdr:cNvSpPr>
            <a:spLocks noChangeArrowheads="1"/>
          </xdr:cNvSpPr>
        </xdr:nvSpPr>
        <xdr:spPr bwMode="auto">
          <a:xfrm>
            <a:off x="2478371" y="722866"/>
            <a:ext cx="1035974" cy="181708"/>
          </a:xfrm>
          <a:prstGeom prst="rect">
            <a:avLst/>
          </a:prstGeom>
          <a:noFill/>
          <a:ln w="9525">
            <a:noFill/>
            <a:miter lim="800000"/>
            <a:headEnd/>
            <a:tailEnd/>
          </a:ln>
          <a:extLst>
            <a:ext uri="{909E8E84-426E-40DD-AFC4-6F175D3DCCD1}">
              <a14:hiddenFill xmlns:a14="http://schemas.microsoft.com/office/drawing/2010/main">
                <a:solidFill>
                  <a:srgbClr val="FFFFFF"/>
                </a:solidFill>
              </a14:hiddenFill>
            </a:ext>
          </a:extLst>
        </xdr:spPr>
        <xdr:txBody>
          <a:bodyPr wrap="none" lIns="0" tIns="0" rIns="0" bIns="0" anchor="t">
            <a:noAutofit/>
          </a:bodyPr>
          <a:lstStyle/>
          <a:p>
            <a:pPr algn="l" rtl="0">
              <a:defRPr sz="1000"/>
            </a:pPr>
            <a:r>
              <a:rPr lang="ja-JP" altLang="en-US" sz="1100" b="0" i="0" u="none" strike="noStrike" baseline="0">
                <a:solidFill>
                  <a:srgbClr val="000000"/>
                </a:solidFill>
                <a:latin typeface="ＭＳ Ｐゴシック"/>
                <a:ea typeface="ＭＳ Ｐゴシック"/>
              </a:rPr>
              <a:t>富士ソフト使用欄</a:t>
            </a:r>
            <a:endParaRPr lang="ja-JP" altLang="en-US"/>
          </a:p>
        </xdr:txBody>
      </xdr:sp>
      <xdr:sp macro="" textlink="">
        <xdr:nvSpPr>
          <xdr:cNvPr id="6" name="Line 352">
            <a:extLst>
              <a:ext uri="{FF2B5EF4-FFF2-40B4-BE49-F238E27FC236}">
                <a16:creationId xmlns:a16="http://schemas.microsoft.com/office/drawing/2014/main" id="{2F83949E-4917-4F25-BA21-AE5339F9B45A}"/>
              </a:ext>
            </a:extLst>
          </xdr:cNvPr>
          <xdr:cNvSpPr>
            <a:spLocks noChangeShapeType="1"/>
          </xdr:cNvSpPr>
        </xdr:nvSpPr>
        <xdr:spPr bwMode="auto">
          <a:xfrm flipV="1">
            <a:off x="2180975" y="1110761"/>
            <a:ext cx="1712552" cy="3362"/>
          </a:xfrm>
          <a:prstGeom prst="line">
            <a:avLst/>
          </a:prstGeom>
          <a:noFill/>
          <a:ln w="190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7" name="Line 352">
            <a:extLst>
              <a:ext uri="{FF2B5EF4-FFF2-40B4-BE49-F238E27FC236}">
                <a16:creationId xmlns:a16="http://schemas.microsoft.com/office/drawing/2014/main" id="{0DB10ADC-3737-4233-806C-ECB479923129}"/>
              </a:ext>
            </a:extLst>
          </xdr:cNvPr>
          <xdr:cNvSpPr>
            <a:spLocks noChangeShapeType="1"/>
          </xdr:cNvSpPr>
        </xdr:nvSpPr>
        <xdr:spPr bwMode="auto">
          <a:xfrm>
            <a:off x="3011601" y="910429"/>
            <a:ext cx="0" cy="873085"/>
          </a:xfrm>
          <a:prstGeom prst="line">
            <a:avLst/>
          </a:prstGeom>
          <a:noFill/>
          <a:ln w="190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8" name="Line 352">
            <a:extLst>
              <a:ext uri="{FF2B5EF4-FFF2-40B4-BE49-F238E27FC236}">
                <a16:creationId xmlns:a16="http://schemas.microsoft.com/office/drawing/2014/main" id="{DC516A2C-2ADD-4F3C-8CFF-FE35BAF20532}"/>
              </a:ext>
            </a:extLst>
          </xdr:cNvPr>
          <xdr:cNvSpPr>
            <a:spLocks noChangeShapeType="1"/>
          </xdr:cNvSpPr>
        </xdr:nvSpPr>
        <xdr:spPr bwMode="auto">
          <a:xfrm flipV="1">
            <a:off x="2176365" y="906434"/>
            <a:ext cx="1712552" cy="3362"/>
          </a:xfrm>
          <a:prstGeom prst="line">
            <a:avLst/>
          </a:prstGeom>
          <a:noFill/>
          <a:ln w="19050">
            <a:solidFill>
              <a:srgbClr val="000000"/>
            </a:solidFill>
            <a:round/>
            <a:headEnd/>
            <a:tailEnd/>
          </a:ln>
          <a:extLst>
            <a:ext uri="{909E8E84-426E-40DD-AFC4-6F175D3DCCD1}">
              <a14:hiddenFill xmlns:a14="http://schemas.microsoft.com/office/drawing/2010/main">
                <a:noFill/>
              </a14:hiddenFill>
            </a:ext>
          </a:extLst>
        </xdr:spPr>
      </xdr:sp>
    </xdr:grpSp>
    <xdr:clientData/>
  </xdr:twoCellAnchor>
</xdr:wsDr>
</file>

<file path=xl/drawings/drawing4.xml><?xml version="1.0" encoding="utf-8"?>
<xdr:wsDr xmlns:xdr="http://schemas.openxmlformats.org/drawingml/2006/spreadsheetDrawing" xmlns:a="http://schemas.openxmlformats.org/drawingml/2006/main">
  <xdr:twoCellAnchor>
    <xdr:from>
      <xdr:col>11</xdr:col>
      <xdr:colOff>123825</xdr:colOff>
      <xdr:row>41</xdr:row>
      <xdr:rowOff>47625</xdr:rowOff>
    </xdr:from>
    <xdr:to>
      <xdr:col>12</xdr:col>
      <xdr:colOff>990600</xdr:colOff>
      <xdr:row>46</xdr:row>
      <xdr:rowOff>197235</xdr:rowOff>
    </xdr:to>
    <xdr:grpSp>
      <xdr:nvGrpSpPr>
        <xdr:cNvPr id="3" name="グループ化 2">
          <a:extLst>
            <a:ext uri="{FF2B5EF4-FFF2-40B4-BE49-F238E27FC236}">
              <a16:creationId xmlns:a16="http://schemas.microsoft.com/office/drawing/2014/main" id="{00000000-0008-0000-0200-000003000000}"/>
            </a:ext>
          </a:extLst>
        </xdr:cNvPr>
        <xdr:cNvGrpSpPr/>
      </xdr:nvGrpSpPr>
      <xdr:grpSpPr>
        <a:xfrm>
          <a:off x="5507521" y="9672016"/>
          <a:ext cx="1620492" cy="1085545"/>
          <a:chOff x="2176365" y="690929"/>
          <a:chExt cx="1717162" cy="1092585"/>
        </a:xfrm>
      </xdr:grpSpPr>
      <xdr:sp macro="" textlink="">
        <xdr:nvSpPr>
          <xdr:cNvPr id="4" name="AutoShape 342">
            <a:extLst>
              <a:ext uri="{FF2B5EF4-FFF2-40B4-BE49-F238E27FC236}">
                <a16:creationId xmlns:a16="http://schemas.microsoft.com/office/drawing/2014/main" id="{00000000-0008-0000-0200-000004000000}"/>
              </a:ext>
            </a:extLst>
          </xdr:cNvPr>
          <xdr:cNvSpPr>
            <a:spLocks noChangeAspect="1" noChangeArrowheads="1" noTextEdit="1"/>
          </xdr:cNvSpPr>
        </xdr:nvSpPr>
        <xdr:spPr bwMode="auto">
          <a:xfrm>
            <a:off x="2184888" y="690929"/>
            <a:ext cx="1708639" cy="1089513"/>
          </a:xfrm>
          <a:prstGeom prst="rect">
            <a:avLst/>
          </a:prstGeom>
          <a:noFill/>
          <a:ln w="19050">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 name="Rectangle 344">
            <a:extLst>
              <a:ext uri="{FF2B5EF4-FFF2-40B4-BE49-F238E27FC236}">
                <a16:creationId xmlns:a16="http://schemas.microsoft.com/office/drawing/2014/main" id="{00000000-0008-0000-0200-000005000000}"/>
              </a:ext>
            </a:extLst>
          </xdr:cNvPr>
          <xdr:cNvSpPr>
            <a:spLocks noChangeArrowheads="1"/>
          </xdr:cNvSpPr>
        </xdr:nvSpPr>
        <xdr:spPr bwMode="auto">
          <a:xfrm>
            <a:off x="2415621" y="915219"/>
            <a:ext cx="398716" cy="180975"/>
          </a:xfrm>
          <a:prstGeom prst="rect">
            <a:avLst/>
          </a:prstGeom>
          <a:noFill/>
          <a:ln w="9525">
            <a:noFill/>
            <a:miter lim="800000"/>
            <a:headEnd/>
            <a:tailEnd/>
          </a:ln>
          <a:extLst>
            <a:ext uri="{909E8E84-426E-40DD-AFC4-6F175D3DCCD1}">
              <a14:hiddenFill xmlns:a14="http://schemas.microsoft.com/office/drawing/2010/main">
                <a:solidFill>
                  <a:srgbClr val="FFFFFF"/>
                </a:solidFill>
              </a14:hiddenFill>
            </a:ext>
          </a:extLst>
        </xdr:spPr>
        <xdr:txBody>
          <a:bodyPr wrap="square" lIns="0" tIns="0" rIns="0" bIns="0" anchor="t">
            <a:noAutofit/>
          </a:bodyPr>
          <a:lstStyle/>
          <a:p>
            <a:pPr algn="l" rtl="0">
              <a:defRPr sz="1000"/>
            </a:pPr>
            <a:r>
              <a:rPr lang="ja-JP" altLang="en-US" sz="1100" b="0" i="0" u="none" strike="noStrike" baseline="0">
                <a:solidFill>
                  <a:srgbClr val="000000"/>
                </a:solidFill>
                <a:latin typeface="ＭＳ Ｐゴシック"/>
                <a:ea typeface="ＭＳ Ｐゴシック"/>
              </a:rPr>
              <a:t>確認</a:t>
            </a:r>
            <a:endParaRPr lang="ja-JP" altLang="en-US"/>
          </a:p>
        </xdr:txBody>
      </xdr:sp>
      <xdr:sp macro="" textlink="">
        <xdr:nvSpPr>
          <xdr:cNvPr id="6" name="Rectangle 345">
            <a:extLst>
              <a:ext uri="{FF2B5EF4-FFF2-40B4-BE49-F238E27FC236}">
                <a16:creationId xmlns:a16="http://schemas.microsoft.com/office/drawing/2014/main" id="{00000000-0008-0000-0200-000006000000}"/>
              </a:ext>
            </a:extLst>
          </xdr:cNvPr>
          <xdr:cNvSpPr>
            <a:spLocks noChangeArrowheads="1"/>
          </xdr:cNvSpPr>
        </xdr:nvSpPr>
        <xdr:spPr bwMode="auto">
          <a:xfrm>
            <a:off x="2478371" y="722866"/>
            <a:ext cx="1035974" cy="181708"/>
          </a:xfrm>
          <a:prstGeom prst="rect">
            <a:avLst/>
          </a:prstGeom>
          <a:noFill/>
          <a:ln w="9525">
            <a:noFill/>
            <a:miter lim="800000"/>
            <a:headEnd/>
            <a:tailEnd/>
          </a:ln>
          <a:extLst>
            <a:ext uri="{909E8E84-426E-40DD-AFC4-6F175D3DCCD1}">
              <a14:hiddenFill xmlns:a14="http://schemas.microsoft.com/office/drawing/2010/main">
                <a:solidFill>
                  <a:srgbClr val="FFFFFF"/>
                </a:solidFill>
              </a14:hiddenFill>
            </a:ext>
          </a:extLst>
        </xdr:spPr>
        <xdr:txBody>
          <a:bodyPr wrap="none" lIns="0" tIns="0" rIns="0" bIns="0" anchor="t">
            <a:noAutofit/>
          </a:bodyPr>
          <a:lstStyle/>
          <a:p>
            <a:pPr algn="l" rtl="0">
              <a:defRPr sz="1000"/>
            </a:pPr>
            <a:r>
              <a:rPr lang="ja-JP" altLang="en-US" sz="1100" b="0" i="0" u="none" strike="noStrike" baseline="0">
                <a:solidFill>
                  <a:srgbClr val="000000"/>
                </a:solidFill>
                <a:latin typeface="ＭＳ Ｐゴシック"/>
                <a:ea typeface="ＭＳ Ｐゴシック"/>
              </a:rPr>
              <a:t>富士ソフト使用欄</a:t>
            </a:r>
            <a:endParaRPr lang="ja-JP" altLang="en-US"/>
          </a:p>
        </xdr:txBody>
      </xdr:sp>
      <xdr:sp macro="" textlink="">
        <xdr:nvSpPr>
          <xdr:cNvPr id="7" name="Line 352">
            <a:extLst>
              <a:ext uri="{FF2B5EF4-FFF2-40B4-BE49-F238E27FC236}">
                <a16:creationId xmlns:a16="http://schemas.microsoft.com/office/drawing/2014/main" id="{00000000-0008-0000-0200-000007000000}"/>
              </a:ext>
            </a:extLst>
          </xdr:cNvPr>
          <xdr:cNvSpPr>
            <a:spLocks noChangeShapeType="1"/>
          </xdr:cNvSpPr>
        </xdr:nvSpPr>
        <xdr:spPr bwMode="auto">
          <a:xfrm flipV="1">
            <a:off x="2180975" y="1110761"/>
            <a:ext cx="1712552" cy="3362"/>
          </a:xfrm>
          <a:prstGeom prst="line">
            <a:avLst/>
          </a:prstGeom>
          <a:noFill/>
          <a:ln w="190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8" name="Line 352">
            <a:extLst>
              <a:ext uri="{FF2B5EF4-FFF2-40B4-BE49-F238E27FC236}">
                <a16:creationId xmlns:a16="http://schemas.microsoft.com/office/drawing/2014/main" id="{00000000-0008-0000-0200-000008000000}"/>
              </a:ext>
            </a:extLst>
          </xdr:cNvPr>
          <xdr:cNvSpPr>
            <a:spLocks noChangeShapeType="1"/>
          </xdr:cNvSpPr>
        </xdr:nvSpPr>
        <xdr:spPr bwMode="auto">
          <a:xfrm>
            <a:off x="3011601" y="910429"/>
            <a:ext cx="0" cy="873085"/>
          </a:xfrm>
          <a:prstGeom prst="line">
            <a:avLst/>
          </a:prstGeom>
          <a:noFill/>
          <a:ln w="190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9" name="Line 352">
            <a:extLst>
              <a:ext uri="{FF2B5EF4-FFF2-40B4-BE49-F238E27FC236}">
                <a16:creationId xmlns:a16="http://schemas.microsoft.com/office/drawing/2014/main" id="{00000000-0008-0000-0200-000009000000}"/>
              </a:ext>
            </a:extLst>
          </xdr:cNvPr>
          <xdr:cNvSpPr>
            <a:spLocks noChangeShapeType="1"/>
          </xdr:cNvSpPr>
        </xdr:nvSpPr>
        <xdr:spPr bwMode="auto">
          <a:xfrm flipV="1">
            <a:off x="2176365" y="906434"/>
            <a:ext cx="1712552" cy="3362"/>
          </a:xfrm>
          <a:prstGeom prst="line">
            <a:avLst/>
          </a:prstGeom>
          <a:noFill/>
          <a:ln w="19050">
            <a:solidFill>
              <a:srgbClr val="000000"/>
            </a:solidFill>
            <a:round/>
            <a:headEnd/>
            <a:tailEnd/>
          </a:ln>
          <a:extLst>
            <a:ext uri="{909E8E84-426E-40DD-AFC4-6F175D3DCCD1}">
              <a14:hiddenFill xmlns:a14="http://schemas.microsoft.com/office/drawing/2010/main">
                <a:noFill/>
              </a14:hiddenFill>
            </a:ext>
          </a:extLst>
        </xdr:spPr>
      </xdr:sp>
    </xdr:grp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0</xdr:colOff>
          <xdr:row>0</xdr:row>
          <xdr:rowOff>0</xdr:rowOff>
        </xdr:from>
        <xdr:to>
          <xdr:col>16</xdr:col>
          <xdr:colOff>257175</xdr:colOff>
          <xdr:row>0</xdr:row>
          <xdr:rowOff>323850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300-0000012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メニューへ</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419100</xdr:colOff>
      <xdr:row>2</xdr:row>
      <xdr:rowOff>19050</xdr:rowOff>
    </xdr:from>
    <xdr:to>
      <xdr:col>5</xdr:col>
      <xdr:colOff>88387</xdr:colOff>
      <xdr:row>7</xdr:row>
      <xdr:rowOff>16260</xdr:rowOff>
    </xdr:to>
    <xdr:grpSp>
      <xdr:nvGrpSpPr>
        <xdr:cNvPr id="13" name="グループ化 12">
          <a:extLst>
            <a:ext uri="{FF2B5EF4-FFF2-40B4-BE49-F238E27FC236}">
              <a16:creationId xmlns:a16="http://schemas.microsoft.com/office/drawing/2014/main" id="{00000000-0008-0000-0400-00000D000000}"/>
            </a:ext>
          </a:extLst>
        </xdr:cNvPr>
        <xdr:cNvGrpSpPr/>
      </xdr:nvGrpSpPr>
      <xdr:grpSpPr>
        <a:xfrm>
          <a:off x="2038350" y="704850"/>
          <a:ext cx="1717162" cy="1092585"/>
          <a:chOff x="2176365" y="690929"/>
          <a:chExt cx="1717162" cy="1092585"/>
        </a:xfrm>
      </xdr:grpSpPr>
      <xdr:sp macro="" textlink="">
        <xdr:nvSpPr>
          <xdr:cNvPr id="14" name="AutoShape 342">
            <a:extLst>
              <a:ext uri="{FF2B5EF4-FFF2-40B4-BE49-F238E27FC236}">
                <a16:creationId xmlns:a16="http://schemas.microsoft.com/office/drawing/2014/main" id="{00000000-0008-0000-0400-00000E000000}"/>
              </a:ext>
            </a:extLst>
          </xdr:cNvPr>
          <xdr:cNvSpPr>
            <a:spLocks noChangeAspect="1" noChangeArrowheads="1" noTextEdit="1"/>
          </xdr:cNvSpPr>
        </xdr:nvSpPr>
        <xdr:spPr bwMode="auto">
          <a:xfrm>
            <a:off x="2184888" y="690929"/>
            <a:ext cx="1708639" cy="1089513"/>
          </a:xfrm>
          <a:prstGeom prst="rect">
            <a:avLst/>
          </a:prstGeom>
          <a:noFill/>
          <a:ln w="19050">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15" name="Rectangle 344">
            <a:extLst>
              <a:ext uri="{FF2B5EF4-FFF2-40B4-BE49-F238E27FC236}">
                <a16:creationId xmlns:a16="http://schemas.microsoft.com/office/drawing/2014/main" id="{00000000-0008-0000-0400-00000F000000}"/>
              </a:ext>
            </a:extLst>
          </xdr:cNvPr>
          <xdr:cNvSpPr>
            <a:spLocks noChangeArrowheads="1"/>
          </xdr:cNvSpPr>
        </xdr:nvSpPr>
        <xdr:spPr bwMode="auto">
          <a:xfrm>
            <a:off x="2415621" y="915219"/>
            <a:ext cx="398716" cy="180975"/>
          </a:xfrm>
          <a:prstGeom prst="rect">
            <a:avLst/>
          </a:prstGeom>
          <a:noFill/>
          <a:ln w="9525">
            <a:noFill/>
            <a:miter lim="800000"/>
            <a:headEnd/>
            <a:tailEnd/>
          </a:ln>
          <a:extLst>
            <a:ext uri="{909E8E84-426E-40DD-AFC4-6F175D3DCCD1}">
              <a14:hiddenFill xmlns:a14="http://schemas.microsoft.com/office/drawing/2010/main">
                <a:solidFill>
                  <a:srgbClr val="FFFFFF"/>
                </a:solidFill>
              </a14:hiddenFill>
            </a:ext>
          </a:extLst>
        </xdr:spPr>
        <xdr:txBody>
          <a:bodyPr wrap="square" lIns="0" tIns="0" rIns="0" bIns="0" anchor="t">
            <a:noAutofit/>
          </a:bodyPr>
          <a:lstStyle/>
          <a:p>
            <a:pPr algn="l" rtl="0">
              <a:defRPr sz="1000"/>
            </a:pPr>
            <a:r>
              <a:rPr lang="ja-JP" altLang="en-US" sz="1100" b="0" i="0" u="none" strike="noStrike" baseline="0">
                <a:solidFill>
                  <a:srgbClr val="000000"/>
                </a:solidFill>
                <a:latin typeface="ＭＳ Ｐゴシック"/>
                <a:ea typeface="ＭＳ Ｐゴシック"/>
              </a:rPr>
              <a:t>確認</a:t>
            </a:r>
            <a:endParaRPr lang="ja-JP" altLang="en-US"/>
          </a:p>
        </xdr:txBody>
      </xdr:sp>
      <xdr:sp macro="" textlink="">
        <xdr:nvSpPr>
          <xdr:cNvPr id="16" name="Rectangle 345">
            <a:extLst>
              <a:ext uri="{FF2B5EF4-FFF2-40B4-BE49-F238E27FC236}">
                <a16:creationId xmlns:a16="http://schemas.microsoft.com/office/drawing/2014/main" id="{00000000-0008-0000-0400-000010000000}"/>
              </a:ext>
            </a:extLst>
          </xdr:cNvPr>
          <xdr:cNvSpPr>
            <a:spLocks noChangeArrowheads="1"/>
          </xdr:cNvSpPr>
        </xdr:nvSpPr>
        <xdr:spPr bwMode="auto">
          <a:xfrm>
            <a:off x="2478371" y="722866"/>
            <a:ext cx="1035974" cy="181708"/>
          </a:xfrm>
          <a:prstGeom prst="rect">
            <a:avLst/>
          </a:prstGeom>
          <a:noFill/>
          <a:ln w="9525">
            <a:noFill/>
            <a:miter lim="800000"/>
            <a:headEnd/>
            <a:tailEnd/>
          </a:ln>
          <a:extLst>
            <a:ext uri="{909E8E84-426E-40DD-AFC4-6F175D3DCCD1}">
              <a14:hiddenFill xmlns:a14="http://schemas.microsoft.com/office/drawing/2010/main">
                <a:solidFill>
                  <a:srgbClr val="FFFFFF"/>
                </a:solidFill>
              </a14:hiddenFill>
            </a:ext>
          </a:extLst>
        </xdr:spPr>
        <xdr:txBody>
          <a:bodyPr wrap="none" lIns="0" tIns="0" rIns="0" bIns="0" anchor="t">
            <a:noAutofit/>
          </a:bodyPr>
          <a:lstStyle/>
          <a:p>
            <a:pPr algn="l" rtl="0">
              <a:defRPr sz="1000"/>
            </a:pPr>
            <a:r>
              <a:rPr lang="ja-JP" altLang="en-US" sz="1100" b="0" i="0" u="none" strike="noStrike" baseline="0">
                <a:solidFill>
                  <a:srgbClr val="000000"/>
                </a:solidFill>
                <a:latin typeface="ＭＳ Ｐゴシック"/>
                <a:ea typeface="ＭＳ Ｐゴシック"/>
              </a:rPr>
              <a:t>富士ソフト使用欄</a:t>
            </a:r>
            <a:endParaRPr lang="ja-JP" altLang="en-US"/>
          </a:p>
        </xdr:txBody>
      </xdr:sp>
      <xdr:sp macro="" textlink="">
        <xdr:nvSpPr>
          <xdr:cNvPr id="17" name="Line 352">
            <a:extLst>
              <a:ext uri="{FF2B5EF4-FFF2-40B4-BE49-F238E27FC236}">
                <a16:creationId xmlns:a16="http://schemas.microsoft.com/office/drawing/2014/main" id="{00000000-0008-0000-0400-000011000000}"/>
              </a:ext>
            </a:extLst>
          </xdr:cNvPr>
          <xdr:cNvSpPr>
            <a:spLocks noChangeShapeType="1"/>
          </xdr:cNvSpPr>
        </xdr:nvSpPr>
        <xdr:spPr bwMode="auto">
          <a:xfrm flipV="1">
            <a:off x="2180975" y="1110761"/>
            <a:ext cx="1712552" cy="3362"/>
          </a:xfrm>
          <a:prstGeom prst="line">
            <a:avLst/>
          </a:prstGeom>
          <a:noFill/>
          <a:ln w="190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8" name="Line 352">
            <a:extLst>
              <a:ext uri="{FF2B5EF4-FFF2-40B4-BE49-F238E27FC236}">
                <a16:creationId xmlns:a16="http://schemas.microsoft.com/office/drawing/2014/main" id="{00000000-0008-0000-0400-000012000000}"/>
              </a:ext>
            </a:extLst>
          </xdr:cNvPr>
          <xdr:cNvSpPr>
            <a:spLocks noChangeShapeType="1"/>
          </xdr:cNvSpPr>
        </xdr:nvSpPr>
        <xdr:spPr bwMode="auto">
          <a:xfrm>
            <a:off x="3011601" y="910429"/>
            <a:ext cx="0" cy="873085"/>
          </a:xfrm>
          <a:prstGeom prst="line">
            <a:avLst/>
          </a:prstGeom>
          <a:noFill/>
          <a:ln w="190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9" name="Line 352">
            <a:extLst>
              <a:ext uri="{FF2B5EF4-FFF2-40B4-BE49-F238E27FC236}">
                <a16:creationId xmlns:a16="http://schemas.microsoft.com/office/drawing/2014/main" id="{00000000-0008-0000-0400-000013000000}"/>
              </a:ext>
            </a:extLst>
          </xdr:cNvPr>
          <xdr:cNvSpPr>
            <a:spLocks noChangeShapeType="1"/>
          </xdr:cNvSpPr>
        </xdr:nvSpPr>
        <xdr:spPr bwMode="auto">
          <a:xfrm flipV="1">
            <a:off x="2176365" y="906434"/>
            <a:ext cx="1712552" cy="3362"/>
          </a:xfrm>
          <a:prstGeom prst="line">
            <a:avLst/>
          </a:prstGeom>
          <a:noFill/>
          <a:ln w="19050">
            <a:solidFill>
              <a:srgbClr val="000000"/>
            </a:solidFill>
            <a:round/>
            <a:headEnd/>
            <a:tailEnd/>
          </a:ln>
          <a:extLst>
            <a:ext uri="{909E8E84-426E-40DD-AFC4-6F175D3DCCD1}">
              <a14:hiddenFill xmlns:a14="http://schemas.microsoft.com/office/drawing/2010/main">
                <a:noFill/>
              </a14:hiddenFill>
            </a:ext>
          </a:extLst>
        </xdr:spPr>
      </xdr:sp>
    </xdr:grpSp>
    <xdr:clientData/>
  </xdr:twoCellAnchor>
  <xdr:oneCellAnchor>
    <xdr:from>
      <xdr:col>0</xdr:col>
      <xdr:colOff>66675</xdr:colOff>
      <xdr:row>2</xdr:row>
      <xdr:rowOff>19050</xdr:rowOff>
    </xdr:from>
    <xdr:ext cx="1901611" cy="459100"/>
    <xdr:sp macro="" textlink="">
      <xdr:nvSpPr>
        <xdr:cNvPr id="10" name="テキスト ボックス 9">
          <a:extLst>
            <a:ext uri="{FF2B5EF4-FFF2-40B4-BE49-F238E27FC236}">
              <a16:creationId xmlns:a16="http://schemas.microsoft.com/office/drawing/2014/main" id="{00000000-0008-0000-0400-00000A000000}"/>
            </a:ext>
          </a:extLst>
        </xdr:cNvPr>
        <xdr:cNvSpPr txBox="1"/>
      </xdr:nvSpPr>
      <xdr:spPr>
        <a:xfrm>
          <a:off x="66675" y="704850"/>
          <a:ext cx="1901611" cy="4591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t>※</a:t>
          </a:r>
          <a:r>
            <a:rPr kumimoji="1" lang="ja-JP" altLang="en-US" sz="1100"/>
            <a:t>電車に乗車する場合、</a:t>
          </a:r>
          <a:endParaRPr kumimoji="1" lang="en-US" altLang="ja-JP" sz="1100"/>
        </a:p>
        <a:p>
          <a:r>
            <a:rPr kumimoji="1" lang="ja-JP" altLang="en-US" sz="1100"/>
            <a:t>　極力</a:t>
          </a:r>
          <a:r>
            <a:rPr kumimoji="1" lang="en-US" altLang="ja-JP" sz="1100"/>
            <a:t>IC</a:t>
          </a:r>
          <a:r>
            <a:rPr kumimoji="1" lang="ja-JP" altLang="en-US" sz="1100"/>
            <a:t>カードを利用下さい。</a:t>
          </a:r>
        </a:p>
      </xdr:txBody>
    </xdr:sp>
    <xdr:clientData fPrintsWithSheet="0"/>
  </xdr:oneCellAnchor>
</xdr:wsDr>
</file>

<file path=xl/drawings/drawing7.xml><?xml version="1.0" encoding="utf-8"?>
<xdr:wsDr xmlns:xdr="http://schemas.openxmlformats.org/drawingml/2006/spreadsheetDrawing" xmlns:a="http://schemas.openxmlformats.org/drawingml/2006/main">
  <xdr:twoCellAnchor>
    <xdr:from>
      <xdr:col>18</xdr:col>
      <xdr:colOff>1485900</xdr:colOff>
      <xdr:row>5</xdr:row>
      <xdr:rowOff>19050</xdr:rowOff>
    </xdr:from>
    <xdr:to>
      <xdr:col>18</xdr:col>
      <xdr:colOff>1114425</xdr:colOff>
      <xdr:row>5</xdr:row>
      <xdr:rowOff>219075</xdr:rowOff>
    </xdr:to>
    <xdr:sp macro="" textlink="">
      <xdr:nvSpPr>
        <xdr:cNvPr id="2" name="Text Box 1">
          <a:extLst>
            <a:ext uri="{FF2B5EF4-FFF2-40B4-BE49-F238E27FC236}">
              <a16:creationId xmlns:a16="http://schemas.microsoft.com/office/drawing/2014/main" id="{00000000-0008-0000-0500-000002000000}"/>
            </a:ext>
          </a:extLst>
        </xdr:cNvPr>
        <xdr:cNvSpPr txBox="1">
          <a:spLocks noChangeArrowheads="1"/>
        </xdr:cNvSpPr>
      </xdr:nvSpPr>
      <xdr:spPr bwMode="auto">
        <a:xfrm>
          <a:off x="6429375" y="1362075"/>
          <a:ext cx="0" cy="200025"/>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1100" b="0" i="0" strike="noStrike">
              <a:solidFill>
                <a:srgbClr val="000000"/>
              </a:solidFill>
              <a:latin typeface="ＭＳ Ｐゴシック"/>
              <a:ea typeface="ＭＳ Ｐゴシック"/>
            </a:rPr>
            <a:t>印</a:t>
          </a:r>
        </a:p>
      </xdr:txBody>
    </xdr:sp>
    <xdr:clientData/>
  </xdr:twoCellAnchor>
  <xdr:twoCellAnchor>
    <xdr:from>
      <xdr:col>20</xdr:col>
      <xdr:colOff>485775</xdr:colOff>
      <xdr:row>5</xdr:row>
      <xdr:rowOff>19050</xdr:rowOff>
    </xdr:from>
    <xdr:to>
      <xdr:col>20</xdr:col>
      <xdr:colOff>695325</xdr:colOff>
      <xdr:row>6</xdr:row>
      <xdr:rowOff>0</xdr:rowOff>
    </xdr:to>
    <xdr:sp macro="" textlink="">
      <xdr:nvSpPr>
        <xdr:cNvPr id="3" name="Text Box 2">
          <a:extLst>
            <a:ext uri="{FF2B5EF4-FFF2-40B4-BE49-F238E27FC236}">
              <a16:creationId xmlns:a16="http://schemas.microsoft.com/office/drawing/2014/main" id="{00000000-0008-0000-0500-000003000000}"/>
            </a:ext>
          </a:extLst>
        </xdr:cNvPr>
        <xdr:cNvSpPr txBox="1">
          <a:spLocks noChangeArrowheads="1"/>
        </xdr:cNvSpPr>
      </xdr:nvSpPr>
      <xdr:spPr bwMode="auto">
        <a:xfrm>
          <a:off x="7400925" y="1362075"/>
          <a:ext cx="0" cy="200025"/>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1100" b="0" i="0" strike="noStrike">
              <a:solidFill>
                <a:srgbClr val="000000"/>
              </a:solidFill>
              <a:latin typeface="ＭＳ Ｐゴシック"/>
              <a:ea typeface="ＭＳ Ｐゴシック"/>
            </a:rPr>
            <a:t>印</a:t>
          </a:r>
        </a:p>
      </xdr:txBody>
    </xdr:sp>
    <xdr:clientData/>
  </xdr:twoCellAnchor>
  <xdr:twoCellAnchor>
    <xdr:from>
      <xdr:col>18</xdr:col>
      <xdr:colOff>1485900</xdr:colOff>
      <xdr:row>99</xdr:row>
      <xdr:rowOff>19050</xdr:rowOff>
    </xdr:from>
    <xdr:to>
      <xdr:col>18</xdr:col>
      <xdr:colOff>1114425</xdr:colOff>
      <xdr:row>99</xdr:row>
      <xdr:rowOff>219075</xdr:rowOff>
    </xdr:to>
    <xdr:sp macro="" textlink="">
      <xdr:nvSpPr>
        <xdr:cNvPr id="4" name="Text Box 8">
          <a:extLst>
            <a:ext uri="{FF2B5EF4-FFF2-40B4-BE49-F238E27FC236}">
              <a16:creationId xmlns:a16="http://schemas.microsoft.com/office/drawing/2014/main" id="{00000000-0008-0000-0500-000004000000}"/>
            </a:ext>
          </a:extLst>
        </xdr:cNvPr>
        <xdr:cNvSpPr txBox="1">
          <a:spLocks noChangeArrowheads="1"/>
        </xdr:cNvSpPr>
      </xdr:nvSpPr>
      <xdr:spPr bwMode="auto">
        <a:xfrm>
          <a:off x="6429375" y="22764750"/>
          <a:ext cx="0" cy="200025"/>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1100" b="0" i="0" strike="noStrike">
              <a:solidFill>
                <a:srgbClr val="000000"/>
              </a:solidFill>
              <a:latin typeface="ＭＳ Ｐゴシック"/>
              <a:ea typeface="ＭＳ Ｐゴシック"/>
            </a:rPr>
            <a:t>印</a:t>
          </a:r>
        </a:p>
      </xdr:txBody>
    </xdr:sp>
    <xdr:clientData/>
  </xdr:twoCellAnchor>
  <xdr:twoCellAnchor>
    <xdr:from>
      <xdr:col>18</xdr:col>
      <xdr:colOff>1485900</xdr:colOff>
      <xdr:row>99</xdr:row>
      <xdr:rowOff>19050</xdr:rowOff>
    </xdr:from>
    <xdr:to>
      <xdr:col>18</xdr:col>
      <xdr:colOff>1114425</xdr:colOff>
      <xdr:row>99</xdr:row>
      <xdr:rowOff>219075</xdr:rowOff>
    </xdr:to>
    <xdr:sp macro="" textlink="">
      <xdr:nvSpPr>
        <xdr:cNvPr id="5" name="Text Box 14">
          <a:extLst>
            <a:ext uri="{FF2B5EF4-FFF2-40B4-BE49-F238E27FC236}">
              <a16:creationId xmlns:a16="http://schemas.microsoft.com/office/drawing/2014/main" id="{00000000-0008-0000-0500-000005000000}"/>
            </a:ext>
          </a:extLst>
        </xdr:cNvPr>
        <xdr:cNvSpPr txBox="1">
          <a:spLocks noChangeArrowheads="1"/>
        </xdr:cNvSpPr>
      </xdr:nvSpPr>
      <xdr:spPr bwMode="auto">
        <a:xfrm>
          <a:off x="6429375" y="22764750"/>
          <a:ext cx="0" cy="200025"/>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1100" b="0" i="0" strike="noStrike">
              <a:solidFill>
                <a:srgbClr val="000000"/>
              </a:solidFill>
              <a:latin typeface="ＭＳ Ｐゴシック"/>
              <a:ea typeface="ＭＳ Ｐゴシック"/>
            </a:rPr>
            <a:t>印</a:t>
          </a:r>
        </a:p>
      </xdr:txBody>
    </xdr:sp>
    <xdr:clientData/>
  </xdr:twoCellAnchor>
  <xdr:twoCellAnchor>
    <xdr:from>
      <xdr:col>18</xdr:col>
      <xdr:colOff>1485900</xdr:colOff>
      <xdr:row>51</xdr:row>
      <xdr:rowOff>19050</xdr:rowOff>
    </xdr:from>
    <xdr:to>
      <xdr:col>18</xdr:col>
      <xdr:colOff>1114425</xdr:colOff>
      <xdr:row>51</xdr:row>
      <xdr:rowOff>219075</xdr:rowOff>
    </xdr:to>
    <xdr:sp macro="" textlink="">
      <xdr:nvSpPr>
        <xdr:cNvPr id="6" name="Text Box 16">
          <a:extLst>
            <a:ext uri="{FF2B5EF4-FFF2-40B4-BE49-F238E27FC236}">
              <a16:creationId xmlns:a16="http://schemas.microsoft.com/office/drawing/2014/main" id="{00000000-0008-0000-0500-000006000000}"/>
            </a:ext>
          </a:extLst>
        </xdr:cNvPr>
        <xdr:cNvSpPr txBox="1">
          <a:spLocks noChangeArrowheads="1"/>
        </xdr:cNvSpPr>
      </xdr:nvSpPr>
      <xdr:spPr bwMode="auto">
        <a:xfrm>
          <a:off x="6429375" y="12058650"/>
          <a:ext cx="0" cy="200025"/>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1100" b="0" i="0" strike="noStrike">
              <a:solidFill>
                <a:srgbClr val="000000"/>
              </a:solidFill>
              <a:latin typeface="ＭＳ Ｐゴシック"/>
              <a:ea typeface="ＭＳ Ｐゴシック"/>
            </a:rPr>
            <a:t>印</a:t>
          </a:r>
        </a:p>
      </xdr:txBody>
    </xdr:sp>
    <xdr:clientData/>
  </xdr:twoCellAnchor>
  <xdr:twoCellAnchor>
    <xdr:from>
      <xdr:col>18</xdr:col>
      <xdr:colOff>1485900</xdr:colOff>
      <xdr:row>51</xdr:row>
      <xdr:rowOff>19050</xdr:rowOff>
    </xdr:from>
    <xdr:to>
      <xdr:col>18</xdr:col>
      <xdr:colOff>1114425</xdr:colOff>
      <xdr:row>51</xdr:row>
      <xdr:rowOff>219075</xdr:rowOff>
    </xdr:to>
    <xdr:sp macro="" textlink="">
      <xdr:nvSpPr>
        <xdr:cNvPr id="7" name="Text Box 22">
          <a:extLst>
            <a:ext uri="{FF2B5EF4-FFF2-40B4-BE49-F238E27FC236}">
              <a16:creationId xmlns:a16="http://schemas.microsoft.com/office/drawing/2014/main" id="{00000000-0008-0000-0500-000007000000}"/>
            </a:ext>
          </a:extLst>
        </xdr:cNvPr>
        <xdr:cNvSpPr txBox="1">
          <a:spLocks noChangeArrowheads="1"/>
        </xdr:cNvSpPr>
      </xdr:nvSpPr>
      <xdr:spPr bwMode="auto">
        <a:xfrm>
          <a:off x="6429375" y="12058650"/>
          <a:ext cx="0" cy="200025"/>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1100" b="0" i="0" strike="noStrike">
              <a:solidFill>
                <a:srgbClr val="000000"/>
              </a:solidFill>
              <a:latin typeface="ＭＳ Ｐゴシック"/>
              <a:ea typeface="ＭＳ Ｐゴシック"/>
            </a:rPr>
            <a:t>印</a:t>
          </a:r>
        </a:p>
      </xdr:txBody>
    </xdr:sp>
    <xdr:clientData/>
  </xdr:twoCellAnchor>
  <xdr:twoCellAnchor>
    <xdr:from>
      <xdr:col>18</xdr:col>
      <xdr:colOff>1485900</xdr:colOff>
      <xdr:row>51</xdr:row>
      <xdr:rowOff>19050</xdr:rowOff>
    </xdr:from>
    <xdr:to>
      <xdr:col>18</xdr:col>
      <xdr:colOff>1114425</xdr:colOff>
      <xdr:row>51</xdr:row>
      <xdr:rowOff>219075</xdr:rowOff>
    </xdr:to>
    <xdr:sp macro="" textlink="">
      <xdr:nvSpPr>
        <xdr:cNvPr id="8" name="Text Box 23">
          <a:extLst>
            <a:ext uri="{FF2B5EF4-FFF2-40B4-BE49-F238E27FC236}">
              <a16:creationId xmlns:a16="http://schemas.microsoft.com/office/drawing/2014/main" id="{00000000-0008-0000-0500-000008000000}"/>
            </a:ext>
          </a:extLst>
        </xdr:cNvPr>
        <xdr:cNvSpPr txBox="1">
          <a:spLocks noChangeArrowheads="1"/>
        </xdr:cNvSpPr>
      </xdr:nvSpPr>
      <xdr:spPr bwMode="auto">
        <a:xfrm>
          <a:off x="6429375" y="12058650"/>
          <a:ext cx="0" cy="200025"/>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1100" b="0" i="0" strike="noStrike">
              <a:solidFill>
                <a:srgbClr val="000000"/>
              </a:solidFill>
              <a:latin typeface="ＭＳ Ｐゴシック"/>
              <a:ea typeface="ＭＳ Ｐゴシック"/>
            </a:rPr>
            <a:t>印</a:t>
          </a:r>
        </a:p>
      </xdr:txBody>
    </xdr:sp>
    <xdr:clientData/>
  </xdr:twoCellAnchor>
  <xdr:twoCellAnchor>
    <xdr:from>
      <xdr:col>18</xdr:col>
      <xdr:colOff>1485900</xdr:colOff>
      <xdr:row>51</xdr:row>
      <xdr:rowOff>19050</xdr:rowOff>
    </xdr:from>
    <xdr:to>
      <xdr:col>18</xdr:col>
      <xdr:colOff>1114425</xdr:colOff>
      <xdr:row>51</xdr:row>
      <xdr:rowOff>219075</xdr:rowOff>
    </xdr:to>
    <xdr:sp macro="" textlink="">
      <xdr:nvSpPr>
        <xdr:cNvPr id="9" name="Text Box 24">
          <a:extLst>
            <a:ext uri="{FF2B5EF4-FFF2-40B4-BE49-F238E27FC236}">
              <a16:creationId xmlns:a16="http://schemas.microsoft.com/office/drawing/2014/main" id="{00000000-0008-0000-0500-000009000000}"/>
            </a:ext>
          </a:extLst>
        </xdr:cNvPr>
        <xdr:cNvSpPr txBox="1">
          <a:spLocks noChangeArrowheads="1"/>
        </xdr:cNvSpPr>
      </xdr:nvSpPr>
      <xdr:spPr bwMode="auto">
        <a:xfrm>
          <a:off x="6429375" y="12058650"/>
          <a:ext cx="0" cy="200025"/>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1100" b="0" i="0" strike="noStrike">
              <a:solidFill>
                <a:srgbClr val="000000"/>
              </a:solidFill>
              <a:latin typeface="ＭＳ Ｐゴシック"/>
              <a:ea typeface="ＭＳ Ｐゴシック"/>
            </a:rPr>
            <a:t>印</a:t>
          </a:r>
        </a:p>
      </xdr:txBody>
    </xdr:sp>
    <xdr:clientData/>
  </xdr:twoCellAnchor>
  <xdr:twoCellAnchor>
    <xdr:from>
      <xdr:col>5</xdr:col>
      <xdr:colOff>410577</xdr:colOff>
      <xdr:row>2</xdr:row>
      <xdr:rowOff>9525</xdr:rowOff>
    </xdr:from>
    <xdr:to>
      <xdr:col>11</xdr:col>
      <xdr:colOff>171450</xdr:colOff>
      <xdr:row>7</xdr:row>
      <xdr:rowOff>3072</xdr:rowOff>
    </xdr:to>
    <xdr:grpSp>
      <xdr:nvGrpSpPr>
        <xdr:cNvPr id="41" name="グループ化 40">
          <a:extLst>
            <a:ext uri="{FF2B5EF4-FFF2-40B4-BE49-F238E27FC236}">
              <a16:creationId xmlns:a16="http://schemas.microsoft.com/office/drawing/2014/main" id="{00000000-0008-0000-0500-000029000000}"/>
            </a:ext>
          </a:extLst>
        </xdr:cNvPr>
        <xdr:cNvGrpSpPr/>
      </xdr:nvGrpSpPr>
      <xdr:grpSpPr>
        <a:xfrm>
          <a:off x="2172702" y="695325"/>
          <a:ext cx="1703973" cy="1088922"/>
          <a:chOff x="2176365" y="690929"/>
          <a:chExt cx="1717162" cy="1092585"/>
        </a:xfrm>
      </xdr:grpSpPr>
      <xdr:sp macro="" textlink="">
        <xdr:nvSpPr>
          <xdr:cNvPr id="12" name="AutoShape 342">
            <a:extLst>
              <a:ext uri="{FF2B5EF4-FFF2-40B4-BE49-F238E27FC236}">
                <a16:creationId xmlns:a16="http://schemas.microsoft.com/office/drawing/2014/main" id="{00000000-0008-0000-0500-00000C000000}"/>
              </a:ext>
            </a:extLst>
          </xdr:cNvPr>
          <xdr:cNvSpPr>
            <a:spLocks noChangeAspect="1" noChangeArrowheads="1" noTextEdit="1"/>
          </xdr:cNvSpPr>
        </xdr:nvSpPr>
        <xdr:spPr bwMode="auto">
          <a:xfrm>
            <a:off x="2184888" y="690929"/>
            <a:ext cx="1708639" cy="1089513"/>
          </a:xfrm>
          <a:prstGeom prst="rect">
            <a:avLst/>
          </a:prstGeom>
          <a:noFill/>
          <a:ln w="19050">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13" name="Rectangle 344">
            <a:extLst>
              <a:ext uri="{FF2B5EF4-FFF2-40B4-BE49-F238E27FC236}">
                <a16:creationId xmlns:a16="http://schemas.microsoft.com/office/drawing/2014/main" id="{00000000-0008-0000-0500-00000D000000}"/>
              </a:ext>
            </a:extLst>
          </xdr:cNvPr>
          <xdr:cNvSpPr>
            <a:spLocks noChangeArrowheads="1"/>
          </xdr:cNvSpPr>
        </xdr:nvSpPr>
        <xdr:spPr bwMode="auto">
          <a:xfrm>
            <a:off x="2415621" y="915219"/>
            <a:ext cx="398716" cy="180975"/>
          </a:xfrm>
          <a:prstGeom prst="rect">
            <a:avLst/>
          </a:prstGeom>
          <a:noFill/>
          <a:ln w="9525">
            <a:noFill/>
            <a:miter lim="800000"/>
            <a:headEnd/>
            <a:tailEnd/>
          </a:ln>
          <a:extLst>
            <a:ext uri="{909E8E84-426E-40DD-AFC4-6F175D3DCCD1}">
              <a14:hiddenFill xmlns:a14="http://schemas.microsoft.com/office/drawing/2010/main">
                <a:solidFill>
                  <a:srgbClr val="FFFFFF"/>
                </a:solidFill>
              </a14:hiddenFill>
            </a:ext>
          </a:extLst>
        </xdr:spPr>
        <xdr:txBody>
          <a:bodyPr wrap="square" lIns="0" tIns="0" rIns="0" bIns="0" anchor="t">
            <a:noAutofit/>
          </a:bodyPr>
          <a:lstStyle/>
          <a:p>
            <a:pPr algn="l" rtl="0">
              <a:defRPr sz="1000"/>
            </a:pPr>
            <a:r>
              <a:rPr lang="ja-JP" altLang="en-US" sz="1100" b="0" i="0" u="none" strike="noStrike" baseline="0">
                <a:solidFill>
                  <a:srgbClr val="000000"/>
                </a:solidFill>
                <a:latin typeface="ＭＳ Ｐゴシック"/>
                <a:ea typeface="ＭＳ Ｐゴシック"/>
              </a:rPr>
              <a:t>確認</a:t>
            </a:r>
            <a:endParaRPr lang="ja-JP" altLang="en-US"/>
          </a:p>
        </xdr:txBody>
      </xdr:sp>
      <xdr:sp macro="" textlink="">
        <xdr:nvSpPr>
          <xdr:cNvPr id="14" name="Rectangle 345">
            <a:extLst>
              <a:ext uri="{FF2B5EF4-FFF2-40B4-BE49-F238E27FC236}">
                <a16:creationId xmlns:a16="http://schemas.microsoft.com/office/drawing/2014/main" id="{00000000-0008-0000-0500-00000E000000}"/>
              </a:ext>
            </a:extLst>
          </xdr:cNvPr>
          <xdr:cNvSpPr>
            <a:spLocks noChangeArrowheads="1"/>
          </xdr:cNvSpPr>
        </xdr:nvSpPr>
        <xdr:spPr bwMode="auto">
          <a:xfrm>
            <a:off x="2478371" y="722866"/>
            <a:ext cx="1035974" cy="181708"/>
          </a:xfrm>
          <a:prstGeom prst="rect">
            <a:avLst/>
          </a:prstGeom>
          <a:noFill/>
          <a:ln w="9525">
            <a:noFill/>
            <a:miter lim="800000"/>
            <a:headEnd/>
            <a:tailEnd/>
          </a:ln>
          <a:extLst>
            <a:ext uri="{909E8E84-426E-40DD-AFC4-6F175D3DCCD1}">
              <a14:hiddenFill xmlns:a14="http://schemas.microsoft.com/office/drawing/2010/main">
                <a:solidFill>
                  <a:srgbClr val="FFFFFF"/>
                </a:solidFill>
              </a14:hiddenFill>
            </a:ext>
          </a:extLst>
        </xdr:spPr>
        <xdr:txBody>
          <a:bodyPr wrap="none" lIns="0" tIns="0" rIns="0" bIns="0" anchor="t">
            <a:noAutofit/>
          </a:bodyPr>
          <a:lstStyle/>
          <a:p>
            <a:pPr algn="l" rtl="0">
              <a:defRPr sz="1000"/>
            </a:pPr>
            <a:r>
              <a:rPr lang="ja-JP" altLang="en-US" sz="1100" b="0" i="0" u="none" strike="noStrike" baseline="0">
                <a:solidFill>
                  <a:srgbClr val="000000"/>
                </a:solidFill>
                <a:latin typeface="ＭＳ Ｐゴシック"/>
                <a:ea typeface="ＭＳ Ｐゴシック"/>
              </a:rPr>
              <a:t>富士ソフト使用欄</a:t>
            </a:r>
            <a:endParaRPr lang="ja-JP" altLang="en-US"/>
          </a:p>
        </xdr:txBody>
      </xdr:sp>
      <xdr:sp macro="" textlink="">
        <xdr:nvSpPr>
          <xdr:cNvPr id="18" name="Line 352">
            <a:extLst>
              <a:ext uri="{FF2B5EF4-FFF2-40B4-BE49-F238E27FC236}">
                <a16:creationId xmlns:a16="http://schemas.microsoft.com/office/drawing/2014/main" id="{00000000-0008-0000-0500-000012000000}"/>
              </a:ext>
            </a:extLst>
          </xdr:cNvPr>
          <xdr:cNvSpPr>
            <a:spLocks noChangeShapeType="1"/>
          </xdr:cNvSpPr>
        </xdr:nvSpPr>
        <xdr:spPr bwMode="auto">
          <a:xfrm flipV="1">
            <a:off x="2180975" y="1110761"/>
            <a:ext cx="1712552" cy="3362"/>
          </a:xfrm>
          <a:prstGeom prst="line">
            <a:avLst/>
          </a:prstGeom>
          <a:noFill/>
          <a:ln w="190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39" name="Line 352">
            <a:extLst>
              <a:ext uri="{FF2B5EF4-FFF2-40B4-BE49-F238E27FC236}">
                <a16:creationId xmlns:a16="http://schemas.microsoft.com/office/drawing/2014/main" id="{00000000-0008-0000-0500-000027000000}"/>
              </a:ext>
            </a:extLst>
          </xdr:cNvPr>
          <xdr:cNvSpPr>
            <a:spLocks noChangeShapeType="1"/>
          </xdr:cNvSpPr>
        </xdr:nvSpPr>
        <xdr:spPr bwMode="auto">
          <a:xfrm>
            <a:off x="3011601" y="910429"/>
            <a:ext cx="0" cy="873085"/>
          </a:xfrm>
          <a:prstGeom prst="line">
            <a:avLst/>
          </a:prstGeom>
          <a:noFill/>
          <a:ln w="190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40" name="Line 352">
            <a:extLst>
              <a:ext uri="{FF2B5EF4-FFF2-40B4-BE49-F238E27FC236}">
                <a16:creationId xmlns:a16="http://schemas.microsoft.com/office/drawing/2014/main" id="{00000000-0008-0000-0500-000028000000}"/>
              </a:ext>
            </a:extLst>
          </xdr:cNvPr>
          <xdr:cNvSpPr>
            <a:spLocks noChangeShapeType="1"/>
          </xdr:cNvSpPr>
        </xdr:nvSpPr>
        <xdr:spPr bwMode="auto">
          <a:xfrm flipV="1">
            <a:off x="2176365" y="906434"/>
            <a:ext cx="1712552" cy="3362"/>
          </a:xfrm>
          <a:prstGeom prst="line">
            <a:avLst/>
          </a:prstGeom>
          <a:noFill/>
          <a:ln w="19050">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xdr:from>
      <xdr:col>5</xdr:col>
      <xdr:colOff>402981</xdr:colOff>
      <xdr:row>48</xdr:row>
      <xdr:rowOff>7326</xdr:rowOff>
    </xdr:from>
    <xdr:to>
      <xdr:col>11</xdr:col>
      <xdr:colOff>163854</xdr:colOff>
      <xdr:row>53</xdr:row>
      <xdr:rowOff>873</xdr:rowOff>
    </xdr:to>
    <xdr:grpSp>
      <xdr:nvGrpSpPr>
        <xdr:cNvPr id="43" name="グループ化 42">
          <a:extLst>
            <a:ext uri="{FF2B5EF4-FFF2-40B4-BE49-F238E27FC236}">
              <a16:creationId xmlns:a16="http://schemas.microsoft.com/office/drawing/2014/main" id="{00000000-0008-0000-0500-00002B000000}"/>
            </a:ext>
          </a:extLst>
        </xdr:cNvPr>
        <xdr:cNvGrpSpPr/>
      </xdr:nvGrpSpPr>
      <xdr:grpSpPr>
        <a:xfrm>
          <a:off x="2165106" y="11008701"/>
          <a:ext cx="1703973" cy="1088922"/>
          <a:chOff x="2176365" y="690929"/>
          <a:chExt cx="1717162" cy="1092585"/>
        </a:xfrm>
      </xdr:grpSpPr>
      <xdr:sp macro="" textlink="">
        <xdr:nvSpPr>
          <xdr:cNvPr id="44" name="AutoShape 342">
            <a:extLst>
              <a:ext uri="{FF2B5EF4-FFF2-40B4-BE49-F238E27FC236}">
                <a16:creationId xmlns:a16="http://schemas.microsoft.com/office/drawing/2014/main" id="{00000000-0008-0000-0500-00002C000000}"/>
              </a:ext>
            </a:extLst>
          </xdr:cNvPr>
          <xdr:cNvSpPr>
            <a:spLocks noChangeAspect="1" noChangeArrowheads="1" noTextEdit="1"/>
          </xdr:cNvSpPr>
        </xdr:nvSpPr>
        <xdr:spPr bwMode="auto">
          <a:xfrm>
            <a:off x="2184888" y="690929"/>
            <a:ext cx="1708639" cy="1089513"/>
          </a:xfrm>
          <a:prstGeom prst="rect">
            <a:avLst/>
          </a:prstGeom>
          <a:noFill/>
          <a:ln w="19050">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45" name="Rectangle 344">
            <a:extLst>
              <a:ext uri="{FF2B5EF4-FFF2-40B4-BE49-F238E27FC236}">
                <a16:creationId xmlns:a16="http://schemas.microsoft.com/office/drawing/2014/main" id="{00000000-0008-0000-0500-00002D000000}"/>
              </a:ext>
            </a:extLst>
          </xdr:cNvPr>
          <xdr:cNvSpPr>
            <a:spLocks noChangeArrowheads="1"/>
          </xdr:cNvSpPr>
        </xdr:nvSpPr>
        <xdr:spPr bwMode="auto">
          <a:xfrm>
            <a:off x="2415621" y="915219"/>
            <a:ext cx="398716" cy="180975"/>
          </a:xfrm>
          <a:prstGeom prst="rect">
            <a:avLst/>
          </a:prstGeom>
          <a:noFill/>
          <a:ln w="9525">
            <a:noFill/>
            <a:miter lim="800000"/>
            <a:headEnd/>
            <a:tailEnd/>
          </a:ln>
          <a:extLst>
            <a:ext uri="{909E8E84-426E-40DD-AFC4-6F175D3DCCD1}">
              <a14:hiddenFill xmlns:a14="http://schemas.microsoft.com/office/drawing/2010/main">
                <a:solidFill>
                  <a:srgbClr val="FFFFFF"/>
                </a:solidFill>
              </a14:hiddenFill>
            </a:ext>
          </a:extLst>
        </xdr:spPr>
        <xdr:txBody>
          <a:bodyPr wrap="square" lIns="0" tIns="0" rIns="0" bIns="0" anchor="t">
            <a:noAutofit/>
          </a:bodyPr>
          <a:lstStyle/>
          <a:p>
            <a:pPr algn="l" rtl="0">
              <a:defRPr sz="1000"/>
            </a:pPr>
            <a:r>
              <a:rPr lang="ja-JP" altLang="en-US" sz="1100" b="0" i="0" u="none" strike="noStrike" baseline="0">
                <a:solidFill>
                  <a:srgbClr val="000000"/>
                </a:solidFill>
                <a:latin typeface="ＭＳ Ｐゴシック"/>
                <a:ea typeface="ＭＳ Ｐゴシック"/>
              </a:rPr>
              <a:t>確認</a:t>
            </a:r>
            <a:endParaRPr lang="ja-JP" altLang="en-US"/>
          </a:p>
        </xdr:txBody>
      </xdr:sp>
      <xdr:sp macro="" textlink="">
        <xdr:nvSpPr>
          <xdr:cNvPr id="46" name="Rectangle 345">
            <a:extLst>
              <a:ext uri="{FF2B5EF4-FFF2-40B4-BE49-F238E27FC236}">
                <a16:creationId xmlns:a16="http://schemas.microsoft.com/office/drawing/2014/main" id="{00000000-0008-0000-0500-00002E000000}"/>
              </a:ext>
            </a:extLst>
          </xdr:cNvPr>
          <xdr:cNvSpPr>
            <a:spLocks noChangeArrowheads="1"/>
          </xdr:cNvSpPr>
        </xdr:nvSpPr>
        <xdr:spPr bwMode="auto">
          <a:xfrm>
            <a:off x="2478371" y="722866"/>
            <a:ext cx="1035974" cy="181708"/>
          </a:xfrm>
          <a:prstGeom prst="rect">
            <a:avLst/>
          </a:prstGeom>
          <a:noFill/>
          <a:ln w="9525">
            <a:noFill/>
            <a:miter lim="800000"/>
            <a:headEnd/>
            <a:tailEnd/>
          </a:ln>
          <a:extLst>
            <a:ext uri="{909E8E84-426E-40DD-AFC4-6F175D3DCCD1}">
              <a14:hiddenFill xmlns:a14="http://schemas.microsoft.com/office/drawing/2010/main">
                <a:solidFill>
                  <a:srgbClr val="FFFFFF"/>
                </a:solidFill>
              </a14:hiddenFill>
            </a:ext>
          </a:extLst>
        </xdr:spPr>
        <xdr:txBody>
          <a:bodyPr wrap="none" lIns="0" tIns="0" rIns="0" bIns="0" anchor="t">
            <a:noAutofit/>
          </a:bodyPr>
          <a:lstStyle/>
          <a:p>
            <a:pPr algn="l" rtl="0">
              <a:defRPr sz="1000"/>
            </a:pPr>
            <a:r>
              <a:rPr lang="ja-JP" altLang="en-US" sz="1100" b="0" i="0" u="none" strike="noStrike" baseline="0">
                <a:solidFill>
                  <a:srgbClr val="000000"/>
                </a:solidFill>
                <a:latin typeface="ＭＳ Ｐゴシック"/>
                <a:ea typeface="ＭＳ Ｐゴシック"/>
              </a:rPr>
              <a:t>富士ソフト使用欄</a:t>
            </a:r>
            <a:endParaRPr lang="ja-JP" altLang="en-US"/>
          </a:p>
        </xdr:txBody>
      </xdr:sp>
      <xdr:sp macro="" textlink="">
        <xdr:nvSpPr>
          <xdr:cNvPr id="47" name="Line 352">
            <a:extLst>
              <a:ext uri="{FF2B5EF4-FFF2-40B4-BE49-F238E27FC236}">
                <a16:creationId xmlns:a16="http://schemas.microsoft.com/office/drawing/2014/main" id="{00000000-0008-0000-0500-00002F000000}"/>
              </a:ext>
            </a:extLst>
          </xdr:cNvPr>
          <xdr:cNvSpPr>
            <a:spLocks noChangeShapeType="1"/>
          </xdr:cNvSpPr>
        </xdr:nvSpPr>
        <xdr:spPr bwMode="auto">
          <a:xfrm flipV="1">
            <a:off x="2180975" y="1110761"/>
            <a:ext cx="1712552" cy="3362"/>
          </a:xfrm>
          <a:prstGeom prst="line">
            <a:avLst/>
          </a:prstGeom>
          <a:noFill/>
          <a:ln w="190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48" name="Line 352">
            <a:extLst>
              <a:ext uri="{FF2B5EF4-FFF2-40B4-BE49-F238E27FC236}">
                <a16:creationId xmlns:a16="http://schemas.microsoft.com/office/drawing/2014/main" id="{00000000-0008-0000-0500-000030000000}"/>
              </a:ext>
            </a:extLst>
          </xdr:cNvPr>
          <xdr:cNvSpPr>
            <a:spLocks noChangeShapeType="1"/>
          </xdr:cNvSpPr>
        </xdr:nvSpPr>
        <xdr:spPr bwMode="auto">
          <a:xfrm>
            <a:off x="3011601" y="910429"/>
            <a:ext cx="0" cy="873085"/>
          </a:xfrm>
          <a:prstGeom prst="line">
            <a:avLst/>
          </a:prstGeom>
          <a:noFill/>
          <a:ln w="190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49" name="Line 352">
            <a:extLst>
              <a:ext uri="{FF2B5EF4-FFF2-40B4-BE49-F238E27FC236}">
                <a16:creationId xmlns:a16="http://schemas.microsoft.com/office/drawing/2014/main" id="{00000000-0008-0000-0500-000031000000}"/>
              </a:ext>
            </a:extLst>
          </xdr:cNvPr>
          <xdr:cNvSpPr>
            <a:spLocks noChangeShapeType="1"/>
          </xdr:cNvSpPr>
        </xdr:nvSpPr>
        <xdr:spPr bwMode="auto">
          <a:xfrm flipV="1">
            <a:off x="2176365" y="906434"/>
            <a:ext cx="1712552" cy="3362"/>
          </a:xfrm>
          <a:prstGeom prst="line">
            <a:avLst/>
          </a:prstGeom>
          <a:noFill/>
          <a:ln w="19050">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xdr:from>
      <xdr:col>5</xdr:col>
      <xdr:colOff>402981</xdr:colOff>
      <xdr:row>96</xdr:row>
      <xdr:rowOff>7327</xdr:rowOff>
    </xdr:from>
    <xdr:to>
      <xdr:col>11</xdr:col>
      <xdr:colOff>163854</xdr:colOff>
      <xdr:row>101</xdr:row>
      <xdr:rowOff>873</xdr:rowOff>
    </xdr:to>
    <xdr:grpSp>
      <xdr:nvGrpSpPr>
        <xdr:cNvPr id="50" name="グループ化 49">
          <a:extLst>
            <a:ext uri="{FF2B5EF4-FFF2-40B4-BE49-F238E27FC236}">
              <a16:creationId xmlns:a16="http://schemas.microsoft.com/office/drawing/2014/main" id="{00000000-0008-0000-0500-000032000000}"/>
            </a:ext>
          </a:extLst>
        </xdr:cNvPr>
        <xdr:cNvGrpSpPr/>
      </xdr:nvGrpSpPr>
      <xdr:grpSpPr>
        <a:xfrm>
          <a:off x="2165106" y="21714802"/>
          <a:ext cx="1703973" cy="1088921"/>
          <a:chOff x="2176365" y="690929"/>
          <a:chExt cx="1717162" cy="1092585"/>
        </a:xfrm>
      </xdr:grpSpPr>
      <xdr:sp macro="" textlink="">
        <xdr:nvSpPr>
          <xdr:cNvPr id="51" name="AutoShape 342">
            <a:extLst>
              <a:ext uri="{FF2B5EF4-FFF2-40B4-BE49-F238E27FC236}">
                <a16:creationId xmlns:a16="http://schemas.microsoft.com/office/drawing/2014/main" id="{00000000-0008-0000-0500-000033000000}"/>
              </a:ext>
            </a:extLst>
          </xdr:cNvPr>
          <xdr:cNvSpPr>
            <a:spLocks noChangeAspect="1" noChangeArrowheads="1" noTextEdit="1"/>
          </xdr:cNvSpPr>
        </xdr:nvSpPr>
        <xdr:spPr bwMode="auto">
          <a:xfrm>
            <a:off x="2184888" y="690929"/>
            <a:ext cx="1708639" cy="1089513"/>
          </a:xfrm>
          <a:prstGeom prst="rect">
            <a:avLst/>
          </a:prstGeom>
          <a:noFill/>
          <a:ln w="19050">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2" name="Rectangle 344">
            <a:extLst>
              <a:ext uri="{FF2B5EF4-FFF2-40B4-BE49-F238E27FC236}">
                <a16:creationId xmlns:a16="http://schemas.microsoft.com/office/drawing/2014/main" id="{00000000-0008-0000-0500-000034000000}"/>
              </a:ext>
            </a:extLst>
          </xdr:cNvPr>
          <xdr:cNvSpPr>
            <a:spLocks noChangeArrowheads="1"/>
          </xdr:cNvSpPr>
        </xdr:nvSpPr>
        <xdr:spPr bwMode="auto">
          <a:xfrm>
            <a:off x="2415621" y="915219"/>
            <a:ext cx="398716" cy="180975"/>
          </a:xfrm>
          <a:prstGeom prst="rect">
            <a:avLst/>
          </a:prstGeom>
          <a:noFill/>
          <a:ln w="9525">
            <a:noFill/>
            <a:miter lim="800000"/>
            <a:headEnd/>
            <a:tailEnd/>
          </a:ln>
          <a:extLst>
            <a:ext uri="{909E8E84-426E-40DD-AFC4-6F175D3DCCD1}">
              <a14:hiddenFill xmlns:a14="http://schemas.microsoft.com/office/drawing/2010/main">
                <a:solidFill>
                  <a:srgbClr val="FFFFFF"/>
                </a:solidFill>
              </a14:hiddenFill>
            </a:ext>
          </a:extLst>
        </xdr:spPr>
        <xdr:txBody>
          <a:bodyPr wrap="square" lIns="0" tIns="0" rIns="0" bIns="0" anchor="t">
            <a:noAutofit/>
          </a:bodyPr>
          <a:lstStyle/>
          <a:p>
            <a:pPr algn="l" rtl="0">
              <a:defRPr sz="1000"/>
            </a:pPr>
            <a:r>
              <a:rPr lang="ja-JP" altLang="en-US" sz="1100" b="0" i="0" u="none" strike="noStrike" baseline="0">
                <a:solidFill>
                  <a:srgbClr val="000000"/>
                </a:solidFill>
                <a:latin typeface="ＭＳ Ｐゴシック"/>
                <a:ea typeface="ＭＳ Ｐゴシック"/>
              </a:rPr>
              <a:t>確認</a:t>
            </a:r>
            <a:endParaRPr lang="ja-JP" altLang="en-US"/>
          </a:p>
        </xdr:txBody>
      </xdr:sp>
      <xdr:sp macro="" textlink="">
        <xdr:nvSpPr>
          <xdr:cNvPr id="53" name="Rectangle 345">
            <a:extLst>
              <a:ext uri="{FF2B5EF4-FFF2-40B4-BE49-F238E27FC236}">
                <a16:creationId xmlns:a16="http://schemas.microsoft.com/office/drawing/2014/main" id="{00000000-0008-0000-0500-000035000000}"/>
              </a:ext>
            </a:extLst>
          </xdr:cNvPr>
          <xdr:cNvSpPr>
            <a:spLocks noChangeArrowheads="1"/>
          </xdr:cNvSpPr>
        </xdr:nvSpPr>
        <xdr:spPr bwMode="auto">
          <a:xfrm>
            <a:off x="2478371" y="722866"/>
            <a:ext cx="1035974" cy="181708"/>
          </a:xfrm>
          <a:prstGeom prst="rect">
            <a:avLst/>
          </a:prstGeom>
          <a:noFill/>
          <a:ln w="9525">
            <a:noFill/>
            <a:miter lim="800000"/>
            <a:headEnd/>
            <a:tailEnd/>
          </a:ln>
          <a:extLst>
            <a:ext uri="{909E8E84-426E-40DD-AFC4-6F175D3DCCD1}">
              <a14:hiddenFill xmlns:a14="http://schemas.microsoft.com/office/drawing/2010/main">
                <a:solidFill>
                  <a:srgbClr val="FFFFFF"/>
                </a:solidFill>
              </a14:hiddenFill>
            </a:ext>
          </a:extLst>
        </xdr:spPr>
        <xdr:txBody>
          <a:bodyPr wrap="none" lIns="0" tIns="0" rIns="0" bIns="0" anchor="t">
            <a:noAutofit/>
          </a:bodyPr>
          <a:lstStyle/>
          <a:p>
            <a:pPr algn="l" rtl="0">
              <a:defRPr sz="1000"/>
            </a:pPr>
            <a:r>
              <a:rPr lang="ja-JP" altLang="en-US" sz="1100" b="0" i="0" u="none" strike="noStrike" baseline="0">
                <a:solidFill>
                  <a:srgbClr val="000000"/>
                </a:solidFill>
                <a:latin typeface="ＭＳ Ｐゴシック"/>
                <a:ea typeface="ＭＳ Ｐゴシック"/>
              </a:rPr>
              <a:t>富士ソフト使用欄</a:t>
            </a:r>
            <a:endParaRPr lang="ja-JP" altLang="en-US"/>
          </a:p>
        </xdr:txBody>
      </xdr:sp>
      <xdr:sp macro="" textlink="">
        <xdr:nvSpPr>
          <xdr:cNvPr id="54" name="Line 352">
            <a:extLst>
              <a:ext uri="{FF2B5EF4-FFF2-40B4-BE49-F238E27FC236}">
                <a16:creationId xmlns:a16="http://schemas.microsoft.com/office/drawing/2014/main" id="{00000000-0008-0000-0500-000036000000}"/>
              </a:ext>
            </a:extLst>
          </xdr:cNvPr>
          <xdr:cNvSpPr>
            <a:spLocks noChangeShapeType="1"/>
          </xdr:cNvSpPr>
        </xdr:nvSpPr>
        <xdr:spPr bwMode="auto">
          <a:xfrm flipV="1">
            <a:off x="2180975" y="1110761"/>
            <a:ext cx="1712552" cy="3362"/>
          </a:xfrm>
          <a:prstGeom prst="line">
            <a:avLst/>
          </a:prstGeom>
          <a:noFill/>
          <a:ln w="190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55" name="Line 352">
            <a:extLst>
              <a:ext uri="{FF2B5EF4-FFF2-40B4-BE49-F238E27FC236}">
                <a16:creationId xmlns:a16="http://schemas.microsoft.com/office/drawing/2014/main" id="{00000000-0008-0000-0500-000037000000}"/>
              </a:ext>
            </a:extLst>
          </xdr:cNvPr>
          <xdr:cNvSpPr>
            <a:spLocks noChangeShapeType="1"/>
          </xdr:cNvSpPr>
        </xdr:nvSpPr>
        <xdr:spPr bwMode="auto">
          <a:xfrm>
            <a:off x="3011601" y="910429"/>
            <a:ext cx="0" cy="873085"/>
          </a:xfrm>
          <a:prstGeom prst="line">
            <a:avLst/>
          </a:prstGeom>
          <a:noFill/>
          <a:ln w="190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56" name="Line 352">
            <a:extLst>
              <a:ext uri="{FF2B5EF4-FFF2-40B4-BE49-F238E27FC236}">
                <a16:creationId xmlns:a16="http://schemas.microsoft.com/office/drawing/2014/main" id="{00000000-0008-0000-0500-000038000000}"/>
              </a:ext>
            </a:extLst>
          </xdr:cNvPr>
          <xdr:cNvSpPr>
            <a:spLocks noChangeShapeType="1"/>
          </xdr:cNvSpPr>
        </xdr:nvSpPr>
        <xdr:spPr bwMode="auto">
          <a:xfrm flipV="1">
            <a:off x="2176365" y="906434"/>
            <a:ext cx="1712552" cy="3362"/>
          </a:xfrm>
          <a:prstGeom prst="line">
            <a:avLst/>
          </a:prstGeom>
          <a:noFill/>
          <a:ln w="19050">
            <a:solidFill>
              <a:srgbClr val="000000"/>
            </a:solidFill>
            <a:round/>
            <a:headEnd/>
            <a:tailEnd/>
          </a:ln>
          <a:extLst>
            <a:ext uri="{909E8E84-426E-40DD-AFC4-6F175D3DCCD1}">
              <a14:hiddenFill xmlns:a14="http://schemas.microsoft.com/office/drawing/2010/main">
                <a:noFill/>
              </a14:hiddenFill>
            </a:ext>
          </a:extLst>
        </xdr:spPr>
      </xdr:sp>
    </xdr:grpSp>
    <xdr:clientData/>
  </xdr:twoCellAnchor>
  <xdr:oneCellAnchor>
    <xdr:from>
      <xdr:col>0</xdr:col>
      <xdr:colOff>180975</xdr:colOff>
      <xdr:row>2</xdr:row>
      <xdr:rowOff>19050</xdr:rowOff>
    </xdr:from>
    <xdr:ext cx="1901611" cy="459100"/>
    <xdr:sp macro="" textlink="">
      <xdr:nvSpPr>
        <xdr:cNvPr id="32" name="テキスト ボックス 31">
          <a:extLst>
            <a:ext uri="{FF2B5EF4-FFF2-40B4-BE49-F238E27FC236}">
              <a16:creationId xmlns:a16="http://schemas.microsoft.com/office/drawing/2014/main" id="{00000000-0008-0000-0500-000020000000}"/>
            </a:ext>
          </a:extLst>
        </xdr:cNvPr>
        <xdr:cNvSpPr txBox="1"/>
      </xdr:nvSpPr>
      <xdr:spPr>
        <a:xfrm>
          <a:off x="180975" y="704850"/>
          <a:ext cx="1901611" cy="4591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t>※</a:t>
          </a:r>
          <a:r>
            <a:rPr kumimoji="1" lang="ja-JP" altLang="en-US" sz="1100"/>
            <a:t>電車に乗車する場合、</a:t>
          </a:r>
          <a:endParaRPr kumimoji="1" lang="en-US" altLang="ja-JP" sz="1100"/>
        </a:p>
        <a:p>
          <a:r>
            <a:rPr kumimoji="1" lang="ja-JP" altLang="en-US" sz="1100"/>
            <a:t>　極力</a:t>
          </a:r>
          <a:r>
            <a:rPr kumimoji="1" lang="en-US" altLang="ja-JP" sz="1100"/>
            <a:t>IC</a:t>
          </a:r>
          <a:r>
            <a:rPr kumimoji="1" lang="ja-JP" altLang="en-US" sz="1100"/>
            <a:t>カードを利用下さい。</a:t>
          </a:r>
        </a:p>
      </xdr:txBody>
    </xdr:sp>
    <xdr:clientData fPrintsWithSheet="0"/>
  </xdr:one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495300</xdr:colOff>
          <xdr:row>1</xdr:row>
          <xdr:rowOff>0</xdr:rowOff>
        </xdr:to>
        <xdr:sp macro="" textlink="">
          <xdr:nvSpPr>
            <xdr:cNvPr id="2050" name="calendar" hidden="1">
              <a:extLst>
                <a:ext uri="{63B3BB69-23CF-44E3-9099-C40C66FF867C}">
                  <a14:compatExt spid="_x0000_s2050"/>
                </a:ext>
                <a:ext uri="{FF2B5EF4-FFF2-40B4-BE49-F238E27FC236}">
                  <a16:creationId xmlns:a16="http://schemas.microsoft.com/office/drawing/2014/main" id="{00000000-0008-0000-0600-000002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確定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123825</xdr:colOff>
          <xdr:row>40</xdr:row>
          <xdr:rowOff>57150</xdr:rowOff>
        </xdr:from>
        <xdr:to>
          <xdr:col>7</xdr:col>
          <xdr:colOff>19050</xdr:colOff>
          <xdr:row>41</xdr:row>
          <xdr:rowOff>142875</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600-000006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＋１年</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1</xdr:row>
          <xdr:rowOff>0</xdr:rowOff>
        </xdr:from>
        <xdr:to>
          <xdr:col>4</xdr:col>
          <xdr:colOff>0</xdr:colOff>
          <xdr:row>2</xdr:row>
          <xdr:rowOff>0</xdr:rowOff>
        </xdr:to>
        <xdr:sp macro="" textlink="">
          <xdr:nvSpPr>
            <xdr:cNvPr id="3080" name="確定" hidden="1">
              <a:extLst>
                <a:ext uri="{63B3BB69-23CF-44E3-9099-C40C66FF867C}">
                  <a14:compatExt spid="_x0000_s3080"/>
                </a:ext>
                <a:ext uri="{FF2B5EF4-FFF2-40B4-BE49-F238E27FC236}">
                  <a16:creationId xmlns:a16="http://schemas.microsoft.com/office/drawing/2014/main" id="{00000000-0008-0000-0800-0000080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確定</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500000" mc:Ignorable="a14" a14:legacySpreadsheetColorIndex="80"/>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extLst>
          <a:ext uri="{53640926-AAD7-44D8-BBD7-CCE9431645EC}">
            <a14:shadowObscured xmlns:a14="http://schemas.microsoft.com/office/drawing/2010/main" val="1"/>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500000" mc:Ignorable="a14" a14:legacySpreadsheetColorIndex="80"/>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extLst>
          <a:ext uri="{53640926-AAD7-44D8-BBD7-CCE9431645EC}">
            <a14:shadowObscured xmlns:a14="http://schemas.microsoft.com/office/drawing/2010/main" val="1"/>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2.vml"/><Relationship Id="rId7" Type="http://schemas.openxmlformats.org/officeDocument/2006/relationships/ctrlProp" Target="../ctrlProps/ctrlProp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image" Target="../media/image1.emf"/><Relationship Id="rId10" Type="http://schemas.openxmlformats.org/officeDocument/2006/relationships/ctrlProp" Target="../ctrlProps/ctrlProp5.xml"/><Relationship Id="rId4" Type="http://schemas.openxmlformats.org/officeDocument/2006/relationships/control" Target="../activeX/activeX1.xml"/><Relationship Id="rId9"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mments" Target="../comments4.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openxmlformats.org/officeDocument/2006/relationships/hyperlink" Target="http://www.houko.com/00/01/S22/049.HTM" TargetMode="External"/><Relationship Id="rId6" Type="http://schemas.openxmlformats.org/officeDocument/2006/relationships/comments" Target="../comments5.xml"/><Relationship Id="rId5" Type="http://schemas.openxmlformats.org/officeDocument/2006/relationships/ctrlProp" Target="../ctrlProps/ctrlProp10.xml"/><Relationship Id="rId4" Type="http://schemas.openxmlformats.org/officeDocument/2006/relationships/vmlDrawing" Target="../drawings/vmlDrawing7.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dimension ref="A1:T413"/>
  <sheetViews>
    <sheetView showGridLines="0" showRowColHeaders="0" showOutlineSymbols="0" zoomScaleNormal="100" workbookViewId="0">
      <selection activeCell="A2" sqref="A2:O2"/>
    </sheetView>
  </sheetViews>
  <sheetFormatPr defaultColWidth="0" defaultRowHeight="13.5" zeroHeight="1"/>
  <cols>
    <col min="1" max="1" width="2.875" style="363" customWidth="1"/>
    <col min="2" max="2" width="6.625" style="363" customWidth="1"/>
    <col min="3" max="3" width="5" style="363" customWidth="1"/>
    <col min="4" max="4" width="2.625" style="363" customWidth="1"/>
    <col min="5" max="6" width="6.25" style="363" customWidth="1"/>
    <col min="7" max="7" width="7.375" style="363" customWidth="1"/>
    <col min="8" max="8" width="7.5" style="363" customWidth="1"/>
    <col min="9" max="9" width="10.75" style="363" customWidth="1"/>
    <col min="10" max="10" width="3.375" style="363" customWidth="1"/>
    <col min="11" max="11" width="9" style="363" customWidth="1"/>
    <col min="12" max="12" width="10.25" style="363" customWidth="1"/>
    <col min="13" max="13" width="14" style="363" customWidth="1"/>
    <col min="14" max="15" width="9" style="363" customWidth="1"/>
    <col min="16" max="16" width="2.25" style="148" hidden="1" customWidth="1"/>
    <col min="17" max="17" width="9" style="148" hidden="1" customWidth="1"/>
    <col min="18" max="18" width="10.5" style="148" hidden="1" customWidth="1"/>
    <col min="19" max="20" width="0" style="148" hidden="1" customWidth="1"/>
    <col min="21" max="16384" width="9" style="148" hidden="1"/>
  </cols>
  <sheetData>
    <row r="1" spans="1:18" ht="12.75" customHeight="1">
      <c r="A1" s="385"/>
      <c r="O1" s="292">
        <v>7.18</v>
      </c>
    </row>
    <row r="2" spans="1:18" ht="12.75" customHeight="1">
      <c r="A2" s="630" t="s">
        <v>208</v>
      </c>
      <c r="B2" s="630"/>
      <c r="C2" s="630"/>
      <c r="D2" s="630"/>
      <c r="E2" s="630"/>
      <c r="F2" s="630"/>
      <c r="G2" s="630"/>
      <c r="H2" s="630"/>
      <c r="I2" s="630"/>
      <c r="J2" s="630"/>
      <c r="K2" s="630"/>
      <c r="L2" s="630"/>
      <c r="M2" s="630"/>
      <c r="N2" s="630"/>
      <c r="O2" s="630"/>
      <c r="R2" s="607">
        <f ca="1">TODAY()</f>
        <v>43769</v>
      </c>
    </row>
    <row r="3" spans="1:18" ht="12.75" customHeight="1">
      <c r="A3" s="630" t="s">
        <v>209</v>
      </c>
      <c r="B3" s="630"/>
      <c r="C3" s="630"/>
      <c r="D3" s="630"/>
      <c r="E3" s="630"/>
      <c r="F3" s="630"/>
      <c r="G3" s="630"/>
      <c r="H3" s="630"/>
      <c r="I3" s="630"/>
      <c r="J3" s="630"/>
      <c r="K3" s="630"/>
      <c r="L3" s="630"/>
      <c r="M3" s="630"/>
      <c r="N3" s="630"/>
      <c r="O3" s="630"/>
    </row>
    <row r="4" spans="1:18" ht="12.75" customHeight="1" thickBot="1">
      <c r="A4" s="386"/>
    </row>
    <row r="5" spans="1:18" ht="12.75" customHeight="1" thickBot="1">
      <c r="A5" s="387"/>
      <c r="B5" s="631" t="s">
        <v>147</v>
      </c>
      <c r="C5" s="631"/>
      <c r="D5" s="631"/>
      <c r="E5" s="631"/>
      <c r="F5" s="631"/>
      <c r="G5" s="631"/>
      <c r="H5" s="631"/>
      <c r="I5" s="631"/>
      <c r="J5" s="631"/>
      <c r="K5" s="631"/>
      <c r="L5" s="631"/>
      <c r="M5" s="631"/>
      <c r="N5" s="631"/>
      <c r="O5" s="388"/>
    </row>
    <row r="6" spans="1:18" ht="12.75" customHeight="1" thickTop="1"/>
    <row r="7" spans="1:18" ht="12.75" customHeight="1">
      <c r="A7" s="363" t="s">
        <v>148</v>
      </c>
    </row>
    <row r="8" spans="1:18" ht="12.75" customHeight="1">
      <c r="A8" s="364" t="s">
        <v>210</v>
      </c>
      <c r="B8" s="363" t="s">
        <v>149</v>
      </c>
    </row>
    <row r="9" spans="1:18" ht="12.75" customHeight="1">
      <c r="A9" s="363" t="s">
        <v>210</v>
      </c>
      <c r="B9" s="363" t="s">
        <v>150</v>
      </c>
    </row>
    <row r="10" spans="1:18" ht="12.75" customHeight="1">
      <c r="A10" s="363" t="s">
        <v>210</v>
      </c>
      <c r="B10" s="363" t="s">
        <v>151</v>
      </c>
    </row>
    <row r="11" spans="1:18" ht="12.75" customHeight="1"/>
    <row r="12" spans="1:18" ht="12.75" customHeight="1">
      <c r="A12" s="363" t="s">
        <v>152</v>
      </c>
    </row>
    <row r="13" spans="1:18" ht="12.75" customHeight="1">
      <c r="A13" s="363" t="s">
        <v>211</v>
      </c>
      <c r="B13" s="363" t="s">
        <v>153</v>
      </c>
      <c r="D13" s="363" t="s">
        <v>125</v>
      </c>
    </row>
    <row r="14" spans="1:18" ht="12.75" customHeight="1">
      <c r="A14" s="363" t="s">
        <v>212</v>
      </c>
      <c r="D14" s="363" t="s">
        <v>154</v>
      </c>
    </row>
    <row r="15" spans="1:18" ht="12.75" customHeight="1">
      <c r="A15" s="364" t="s">
        <v>213</v>
      </c>
      <c r="D15" s="363" t="s">
        <v>155</v>
      </c>
    </row>
    <row r="16" spans="1:18" ht="12.75" customHeight="1"/>
    <row r="17" spans="1:5" ht="12.75" customHeight="1">
      <c r="A17" s="363" t="s">
        <v>214</v>
      </c>
      <c r="B17" s="363" t="s">
        <v>156</v>
      </c>
      <c r="D17" s="363" t="s">
        <v>157</v>
      </c>
    </row>
    <row r="18" spans="1:5" ht="12.75" customHeight="1">
      <c r="A18" s="364" t="s">
        <v>215</v>
      </c>
      <c r="D18" s="363" t="s">
        <v>154</v>
      </c>
    </row>
    <row r="19" spans="1:5" ht="12.75" customHeight="1">
      <c r="A19" s="363" t="s">
        <v>216</v>
      </c>
      <c r="D19" s="363" t="s">
        <v>155</v>
      </c>
    </row>
    <row r="20" spans="1:5" ht="12.75" customHeight="1">
      <c r="A20" s="363" t="s">
        <v>217</v>
      </c>
      <c r="D20" s="491" t="s">
        <v>445</v>
      </c>
    </row>
    <row r="21" spans="1:5" ht="12.75" customHeight="1"/>
    <row r="22" spans="1:5" ht="12.75" customHeight="1">
      <c r="A22" s="363" t="s">
        <v>210</v>
      </c>
      <c r="B22" s="363" t="s">
        <v>158</v>
      </c>
      <c r="D22" s="364" t="s">
        <v>126</v>
      </c>
    </row>
    <row r="23" spans="1:5" ht="12.75" customHeight="1">
      <c r="A23" s="363" t="s">
        <v>218</v>
      </c>
      <c r="D23" s="363" t="s">
        <v>159</v>
      </c>
    </row>
    <row r="24" spans="1:5" ht="12.75" customHeight="1">
      <c r="A24" s="363" t="s">
        <v>219</v>
      </c>
      <c r="D24" s="363" t="s">
        <v>160</v>
      </c>
    </row>
    <row r="25" spans="1:5" ht="12.75" customHeight="1"/>
    <row r="26" spans="1:5" ht="12.75" customHeight="1">
      <c r="A26" s="363" t="s">
        <v>210</v>
      </c>
      <c r="B26" s="363" t="s">
        <v>161</v>
      </c>
      <c r="D26" s="363" t="s">
        <v>127</v>
      </c>
    </row>
    <row r="27" spans="1:5" ht="12.75" customHeight="1">
      <c r="A27" s="363" t="s">
        <v>220</v>
      </c>
      <c r="D27" s="363" t="s">
        <v>162</v>
      </c>
    </row>
    <row r="28" spans="1:5" ht="12.75" customHeight="1">
      <c r="A28" s="363" t="s">
        <v>221</v>
      </c>
      <c r="D28" s="363" t="s">
        <v>163</v>
      </c>
    </row>
    <row r="29" spans="1:5" ht="12.75" customHeight="1">
      <c r="A29" s="363" t="s">
        <v>222</v>
      </c>
      <c r="D29" s="363" t="s">
        <v>164</v>
      </c>
    </row>
    <row r="30" spans="1:5" ht="12.75" customHeight="1">
      <c r="D30" s="389" t="s">
        <v>335</v>
      </c>
      <c r="E30" s="364"/>
    </row>
    <row r="31" spans="1:5" ht="12.75" customHeight="1"/>
    <row r="32" spans="1:5" ht="12.75" customHeight="1">
      <c r="A32" s="363" t="s">
        <v>210</v>
      </c>
      <c r="B32" s="363" t="s">
        <v>165</v>
      </c>
      <c r="D32" s="363" t="s">
        <v>128</v>
      </c>
    </row>
    <row r="33" spans="1:15" ht="12.75" customHeight="1">
      <c r="A33" s="363" t="s">
        <v>223</v>
      </c>
      <c r="D33" s="363" t="s">
        <v>154</v>
      </c>
    </row>
    <row r="34" spans="1:15" ht="12.75" customHeight="1"/>
    <row r="35" spans="1:15" ht="12.75" customHeight="1">
      <c r="A35" s="390" t="s">
        <v>224</v>
      </c>
      <c r="B35" s="363" t="s">
        <v>166</v>
      </c>
    </row>
    <row r="36" spans="1:15" ht="12.75" customHeight="1">
      <c r="A36" s="363" t="s">
        <v>225</v>
      </c>
      <c r="B36" s="363" t="s">
        <v>167</v>
      </c>
    </row>
    <row r="37" spans="1:15" ht="12.75" customHeight="1">
      <c r="A37" s="390" t="s">
        <v>224</v>
      </c>
      <c r="B37" s="363" t="s">
        <v>226</v>
      </c>
    </row>
    <row r="38" spans="1:15" ht="12.75" customHeight="1">
      <c r="B38" s="363" t="s">
        <v>168</v>
      </c>
    </row>
    <row r="39" spans="1:15" ht="12.75" customHeight="1"/>
    <row r="40" spans="1:15" ht="12.75" customHeight="1">
      <c r="B40" s="363" t="s">
        <v>169</v>
      </c>
    </row>
    <row r="41" spans="1:15" ht="12.75" customHeight="1"/>
    <row r="42" spans="1:15" s="150" customFormat="1" ht="12.75" customHeight="1">
      <c r="A42" s="358"/>
      <c r="B42" s="358"/>
      <c r="C42" s="359" t="s">
        <v>336</v>
      </c>
      <c r="D42" s="360" t="s">
        <v>337</v>
      </c>
      <c r="E42" s="358"/>
      <c r="F42" s="358"/>
      <c r="G42" s="358"/>
      <c r="H42" s="358"/>
      <c r="I42" s="358"/>
      <c r="J42" s="358"/>
      <c r="K42" s="358"/>
      <c r="L42" s="358"/>
      <c r="M42" s="358"/>
      <c r="N42" s="358"/>
      <c r="O42" s="358"/>
    </row>
    <row r="43" spans="1:15" s="150" customFormat="1" ht="12.75" customHeight="1">
      <c r="A43" s="358"/>
      <c r="B43" s="358"/>
      <c r="C43" s="358"/>
      <c r="D43" s="361" t="s">
        <v>338</v>
      </c>
      <c r="E43" s="360" t="s">
        <v>339</v>
      </c>
      <c r="F43" s="358"/>
      <c r="G43" s="358"/>
      <c r="H43" s="358"/>
      <c r="I43" s="358"/>
      <c r="J43" s="358"/>
      <c r="K43" s="358"/>
      <c r="L43" s="358"/>
      <c r="M43" s="358"/>
      <c r="N43" s="358"/>
      <c r="O43" s="358"/>
    </row>
    <row r="44" spans="1:15" s="150" customFormat="1" ht="12.75" customHeight="1">
      <c r="A44" s="362"/>
      <c r="B44" s="358"/>
      <c r="C44" s="358"/>
      <c r="D44" s="361" t="s">
        <v>338</v>
      </c>
      <c r="E44" s="362" t="s">
        <v>340</v>
      </c>
      <c r="F44" s="358"/>
      <c r="G44" s="358"/>
      <c r="H44" s="358"/>
      <c r="I44" s="358"/>
      <c r="J44" s="358"/>
      <c r="K44" s="358"/>
      <c r="L44" s="358"/>
      <c r="M44" s="358"/>
      <c r="N44" s="358"/>
      <c r="O44" s="358"/>
    </row>
    <row r="45" spans="1:15" s="150" customFormat="1" ht="12.75" customHeight="1">
      <c r="A45" s="362"/>
      <c r="B45" s="358"/>
      <c r="C45" s="358"/>
      <c r="D45" s="358"/>
      <c r="E45" s="362" t="s">
        <v>296</v>
      </c>
      <c r="F45" s="358"/>
      <c r="G45" s="358"/>
      <c r="H45" s="358"/>
      <c r="I45" s="358"/>
      <c r="J45" s="358"/>
      <c r="K45" s="358"/>
      <c r="L45" s="358"/>
      <c r="M45" s="358"/>
      <c r="N45" s="358"/>
      <c r="O45" s="358"/>
    </row>
    <row r="46" spans="1:15" s="150" customFormat="1" ht="12.75" customHeight="1">
      <c r="A46" s="358"/>
      <c r="B46" s="358"/>
      <c r="C46" s="358"/>
      <c r="D46" s="358" t="s">
        <v>170</v>
      </c>
      <c r="E46" s="358" t="s">
        <v>171</v>
      </c>
      <c r="F46" s="358"/>
      <c r="G46" s="358"/>
      <c r="H46" s="358"/>
      <c r="I46" s="358"/>
      <c r="J46" s="358"/>
      <c r="K46" s="358"/>
      <c r="L46" s="358"/>
      <c r="M46" s="358"/>
      <c r="N46" s="358"/>
      <c r="O46" s="358"/>
    </row>
    <row r="47" spans="1:15" s="150" customFormat="1" ht="12.75" customHeight="1">
      <c r="A47" s="358"/>
      <c r="B47" s="358"/>
      <c r="C47" s="358"/>
      <c r="D47" s="358"/>
      <c r="E47" s="358"/>
      <c r="F47" s="358"/>
      <c r="G47" s="358"/>
      <c r="H47" s="358"/>
      <c r="I47" s="358"/>
      <c r="J47" s="358"/>
      <c r="K47" s="358"/>
      <c r="L47" s="358"/>
      <c r="M47" s="358"/>
      <c r="N47" s="358"/>
      <c r="O47" s="358"/>
    </row>
    <row r="48" spans="1:15" s="150" customFormat="1" ht="12.75" customHeight="1">
      <c r="A48" s="358"/>
      <c r="B48" s="358"/>
      <c r="C48" s="359" t="s">
        <v>297</v>
      </c>
      <c r="D48" s="358" t="s">
        <v>172</v>
      </c>
      <c r="E48" s="358"/>
      <c r="F48" s="358"/>
      <c r="G48" s="358"/>
      <c r="H48" s="358"/>
      <c r="I48" s="358"/>
      <c r="J48" s="358"/>
      <c r="K48" s="358"/>
      <c r="L48" s="358"/>
      <c r="M48" s="358"/>
      <c r="N48" s="358"/>
      <c r="O48" s="358"/>
    </row>
    <row r="49" spans="1:15" ht="12.75" customHeight="1">
      <c r="D49" s="361" t="s">
        <v>298</v>
      </c>
      <c r="E49" s="364" t="s">
        <v>299</v>
      </c>
    </row>
    <row r="50" spans="1:15" ht="12.75" customHeight="1">
      <c r="E50" s="365" t="s">
        <v>300</v>
      </c>
    </row>
    <row r="51" spans="1:15" ht="12.75" customHeight="1">
      <c r="D51" s="361" t="s">
        <v>298</v>
      </c>
      <c r="E51" s="362" t="s">
        <v>301</v>
      </c>
    </row>
    <row r="52" spans="1:15" ht="12.75" customHeight="1">
      <c r="A52" s="364"/>
      <c r="E52" s="362" t="s">
        <v>302</v>
      </c>
    </row>
    <row r="53" spans="1:15" ht="12.75" customHeight="1">
      <c r="A53" s="364"/>
      <c r="D53" s="363" t="s">
        <v>170</v>
      </c>
      <c r="E53" s="365" t="s">
        <v>303</v>
      </c>
    </row>
    <row r="54" spans="1:15" ht="12.75" customHeight="1">
      <c r="A54" s="358"/>
      <c r="B54" s="358"/>
      <c r="C54" s="358"/>
      <c r="D54" s="358"/>
      <c r="E54" s="358"/>
    </row>
    <row r="55" spans="1:15" s="150" customFormat="1" ht="12.75" customHeight="1">
      <c r="A55" s="358"/>
      <c r="B55" s="358"/>
      <c r="C55" s="359" t="s">
        <v>304</v>
      </c>
      <c r="D55" s="358" t="s">
        <v>173</v>
      </c>
      <c r="E55" s="358"/>
      <c r="F55" s="358"/>
      <c r="G55" s="358"/>
      <c r="H55" s="358"/>
      <c r="I55" s="358"/>
      <c r="J55" s="358"/>
      <c r="K55" s="358"/>
      <c r="L55" s="358"/>
      <c r="M55" s="358"/>
      <c r="N55" s="358"/>
      <c r="O55" s="358"/>
    </row>
    <row r="56" spans="1:15" s="150" customFormat="1" ht="12.75" customHeight="1">
      <c r="A56" s="358"/>
      <c r="B56" s="358"/>
      <c r="C56" s="358"/>
      <c r="D56" s="361" t="s">
        <v>305</v>
      </c>
      <c r="E56" s="364" t="s">
        <v>290</v>
      </c>
      <c r="F56" s="358"/>
      <c r="G56" s="358"/>
      <c r="H56" s="358"/>
      <c r="I56" s="358"/>
      <c r="J56" s="358"/>
      <c r="K56" s="358"/>
      <c r="L56" s="358"/>
      <c r="M56" s="358"/>
      <c r="N56" s="358"/>
      <c r="O56" s="358"/>
    </row>
    <row r="57" spans="1:15" s="150" customFormat="1" ht="12.75" customHeight="1">
      <c r="A57" s="358"/>
      <c r="B57" s="358"/>
      <c r="C57" s="358"/>
      <c r="D57" s="358"/>
      <c r="E57" s="365" t="s">
        <v>291</v>
      </c>
      <c r="F57" s="363"/>
      <c r="G57" s="358"/>
      <c r="H57" s="358"/>
      <c r="I57" s="358"/>
      <c r="J57" s="358"/>
      <c r="K57" s="358"/>
      <c r="L57" s="358"/>
      <c r="M57" s="358"/>
      <c r="N57" s="358"/>
      <c r="O57" s="358"/>
    </row>
    <row r="58" spans="1:15" s="150" customFormat="1" ht="12.75" customHeight="1">
      <c r="A58" s="358"/>
      <c r="B58" s="358"/>
      <c r="C58" s="358"/>
      <c r="D58" s="365" t="s">
        <v>306</v>
      </c>
      <c r="E58" s="365"/>
      <c r="F58" s="363"/>
      <c r="G58" s="358"/>
      <c r="H58" s="358"/>
      <c r="I58" s="358"/>
      <c r="J58" s="358"/>
      <c r="K58" s="358"/>
      <c r="L58" s="358"/>
      <c r="M58" s="358"/>
      <c r="N58" s="358"/>
      <c r="O58" s="358"/>
    </row>
    <row r="59" spans="1:15" s="150" customFormat="1" ht="12.75" customHeight="1" thickBot="1">
      <c r="A59" s="358"/>
      <c r="B59" s="358"/>
      <c r="C59" s="358"/>
      <c r="D59" s="358"/>
      <c r="E59" s="365"/>
      <c r="F59" s="363"/>
      <c r="G59" s="358"/>
      <c r="H59" s="358"/>
      <c r="I59" s="358"/>
      <c r="J59" s="358"/>
      <c r="K59" s="358"/>
      <c r="L59" s="358"/>
      <c r="M59" s="358"/>
      <c r="N59" s="358"/>
      <c r="O59" s="358"/>
    </row>
    <row r="60" spans="1:15" ht="12.75" customHeight="1" thickBot="1">
      <c r="A60" s="640" t="s">
        <v>579</v>
      </c>
      <c r="B60" s="640"/>
      <c r="C60" s="640"/>
      <c r="D60" s="640"/>
      <c r="E60" s="640"/>
      <c r="F60" s="640"/>
      <c r="G60" s="640"/>
      <c r="H60" s="640"/>
      <c r="I60" s="640"/>
      <c r="J60" s="640"/>
      <c r="K60" s="640"/>
      <c r="L60" s="640"/>
      <c r="M60" s="640"/>
      <c r="N60" s="640"/>
      <c r="O60" s="640"/>
    </row>
    <row r="61" spans="1:15" ht="12.75" customHeight="1" thickTop="1"/>
    <row r="62" spans="1:15" ht="12.75" customHeight="1">
      <c r="A62" s="491" t="s">
        <v>581</v>
      </c>
    </row>
    <row r="63" spans="1:15" ht="12.75" customHeight="1">
      <c r="A63" s="491"/>
      <c r="B63" s="491" t="s">
        <v>582</v>
      </c>
    </row>
    <row r="64" spans="1:15" ht="12.75" customHeight="1">
      <c r="A64" s="491"/>
      <c r="B64" s="491" t="s">
        <v>583</v>
      </c>
    </row>
    <row r="65" spans="1:15" ht="12.75" customHeight="1">
      <c r="A65" s="491"/>
      <c r="B65" s="491" t="s">
        <v>584</v>
      </c>
    </row>
    <row r="66" spans="1:15" ht="12.75" customHeight="1">
      <c r="A66" s="491"/>
      <c r="B66" s="491"/>
      <c r="C66" s="646" t="s">
        <v>588</v>
      </c>
      <c r="D66" s="646"/>
      <c r="E66" s="646"/>
      <c r="F66" s="646"/>
      <c r="G66" s="646"/>
      <c r="H66" s="646"/>
      <c r="I66" s="491" t="s">
        <v>585</v>
      </c>
      <c r="J66" s="148"/>
      <c r="K66" s="148"/>
    </row>
    <row r="67" spans="1:15" ht="12.75" customHeight="1">
      <c r="A67" s="491"/>
      <c r="B67" s="491"/>
      <c r="C67" s="646" t="s">
        <v>587</v>
      </c>
      <c r="D67" s="646"/>
      <c r="E67" s="646"/>
      <c r="F67" s="646"/>
      <c r="G67" s="646"/>
      <c r="H67" s="646"/>
      <c r="I67" s="491" t="s">
        <v>586</v>
      </c>
      <c r="J67" s="148"/>
      <c r="K67" s="148"/>
    </row>
    <row r="68" spans="1:15" ht="12.75" customHeight="1">
      <c r="A68" s="491"/>
    </row>
    <row r="69" spans="1:15" ht="12.75" customHeight="1">
      <c r="A69" s="491"/>
    </row>
    <row r="70" spans="1:15" customFormat="1">
      <c r="A70" s="366"/>
      <c r="B70" s="580" t="s">
        <v>580</v>
      </c>
      <c r="C70" s="367"/>
      <c r="D70" s="367"/>
      <c r="E70" s="367"/>
      <c r="F70" s="367"/>
      <c r="G70" s="367"/>
      <c r="H70" s="367"/>
      <c r="I70" s="367"/>
      <c r="J70" s="367"/>
      <c r="K70" s="366"/>
      <c r="L70" s="366"/>
      <c r="M70" s="366"/>
      <c r="N70" s="366"/>
      <c r="O70" s="366"/>
    </row>
    <row r="71" spans="1:15" customFormat="1">
      <c r="A71" s="366" t="s">
        <v>307</v>
      </c>
      <c r="B71" s="367"/>
      <c r="C71" s="367"/>
      <c r="D71" s="367"/>
      <c r="E71" s="367"/>
      <c r="F71" s="367"/>
      <c r="G71" s="367"/>
      <c r="H71" s="367"/>
      <c r="I71" s="367"/>
      <c r="J71" s="367"/>
      <c r="K71" s="366"/>
      <c r="L71" s="366"/>
      <c r="M71" s="366"/>
      <c r="N71" s="366"/>
      <c r="O71" s="366"/>
    </row>
    <row r="72" spans="1:15" customFormat="1">
      <c r="A72" s="366"/>
      <c r="B72" s="580"/>
      <c r="C72" s="367"/>
      <c r="D72" s="367"/>
      <c r="E72" s="367"/>
      <c r="F72" s="367"/>
      <c r="G72" s="367"/>
      <c r="H72" s="367"/>
      <c r="I72" s="367"/>
      <c r="J72" s="367"/>
      <c r="K72" s="366"/>
      <c r="L72" s="366"/>
      <c r="M72" s="366"/>
      <c r="N72" s="366"/>
      <c r="O72" s="366"/>
    </row>
    <row r="73" spans="1:15" customFormat="1">
      <c r="A73" s="368"/>
      <c r="B73" s="580" t="s">
        <v>308</v>
      </c>
      <c r="C73" s="367"/>
      <c r="D73" s="367"/>
      <c r="E73" s="367"/>
      <c r="F73" s="367"/>
      <c r="G73" s="367"/>
      <c r="H73" s="367"/>
      <c r="I73" s="367"/>
      <c r="J73" s="367"/>
      <c r="K73" s="366"/>
      <c r="L73" s="366"/>
      <c r="M73" s="366"/>
      <c r="N73" s="366"/>
      <c r="O73" s="366"/>
    </row>
    <row r="74" spans="1:15" customFormat="1">
      <c r="A74" s="369"/>
      <c r="B74" s="578" t="s">
        <v>570</v>
      </c>
      <c r="C74" s="367"/>
      <c r="D74" s="367"/>
      <c r="E74" s="367"/>
      <c r="F74" s="367"/>
      <c r="G74" s="367"/>
      <c r="H74" s="367"/>
      <c r="I74" s="367"/>
      <c r="J74" s="367"/>
      <c r="K74" s="366"/>
      <c r="L74" s="366"/>
      <c r="M74" s="366"/>
      <c r="N74" s="366"/>
      <c r="O74" s="366"/>
    </row>
    <row r="75" spans="1:15" customFormat="1">
      <c r="A75" s="369"/>
      <c r="B75" s="369" t="s">
        <v>309</v>
      </c>
      <c r="C75" s="366"/>
      <c r="D75" s="367"/>
      <c r="E75" s="367"/>
      <c r="F75" s="367"/>
      <c r="G75" s="367"/>
      <c r="H75" s="367"/>
      <c r="I75" s="367"/>
      <c r="J75" s="367"/>
      <c r="K75" s="366"/>
      <c r="L75" s="366"/>
      <c r="M75" s="366"/>
      <c r="N75" s="366"/>
      <c r="O75" s="366"/>
    </row>
    <row r="76" spans="1:15" customFormat="1">
      <c r="A76" s="369" t="s">
        <v>310</v>
      </c>
      <c r="B76" s="578" t="s">
        <v>589</v>
      </c>
      <c r="C76" s="370"/>
      <c r="D76" s="370"/>
      <c r="E76" s="370"/>
      <c r="F76" s="370"/>
      <c r="G76" s="367"/>
      <c r="H76" s="367"/>
      <c r="I76" s="367"/>
      <c r="J76" s="367"/>
      <c r="K76" s="366"/>
      <c r="L76" s="366"/>
      <c r="M76" s="366"/>
      <c r="N76" s="366"/>
      <c r="O76" s="366"/>
    </row>
    <row r="77" spans="1:15" customFormat="1">
      <c r="A77" s="369"/>
      <c r="B77" s="578" t="s">
        <v>590</v>
      </c>
      <c r="C77" s="370"/>
      <c r="D77" s="370"/>
      <c r="E77" s="370"/>
      <c r="F77" s="370"/>
      <c r="G77" s="367"/>
      <c r="H77" s="367"/>
      <c r="I77" s="367"/>
      <c r="J77" s="367"/>
      <c r="K77" s="366"/>
      <c r="L77" s="366"/>
      <c r="M77" s="366"/>
      <c r="N77" s="366"/>
      <c r="O77" s="366"/>
    </row>
    <row r="78" spans="1:15" ht="12.75" customHeight="1" thickBot="1"/>
    <row r="79" spans="1:15" ht="12.75" customHeight="1" thickBot="1">
      <c r="A79" s="640" t="s">
        <v>284</v>
      </c>
      <c r="B79" s="640"/>
      <c r="C79" s="640"/>
      <c r="D79" s="640"/>
      <c r="E79" s="640"/>
      <c r="F79" s="640"/>
      <c r="G79" s="640"/>
      <c r="H79" s="640"/>
      <c r="I79" s="640"/>
      <c r="J79" s="640"/>
      <c r="K79" s="640"/>
      <c r="L79" s="640"/>
      <c r="M79" s="640"/>
      <c r="N79" s="640"/>
      <c r="O79" s="640"/>
    </row>
    <row r="80" spans="1:15" ht="12.75" customHeight="1" thickTop="1"/>
    <row r="81" spans="1:15" ht="12.75" customHeight="1">
      <c r="A81" s="363" t="s">
        <v>174</v>
      </c>
    </row>
    <row r="82" spans="1:15" ht="18.75" customHeight="1" thickBot="1"/>
    <row r="83" spans="1:15" ht="12.75" customHeight="1">
      <c r="I83" s="561" t="s">
        <v>236</v>
      </c>
      <c r="J83" s="562"/>
      <c r="K83" s="641">
        <v>807</v>
      </c>
      <c r="L83" s="642"/>
      <c r="M83" s="643"/>
    </row>
    <row r="84" spans="1:15" ht="12.75" customHeight="1">
      <c r="I84" s="563" t="s">
        <v>237</v>
      </c>
      <c r="J84" s="564"/>
      <c r="K84" s="635" t="s">
        <v>596</v>
      </c>
      <c r="L84" s="636"/>
      <c r="M84" s="644"/>
    </row>
    <row r="85" spans="1:15" ht="12.75" customHeight="1">
      <c r="I85" s="563" t="s">
        <v>238</v>
      </c>
      <c r="J85" s="564"/>
      <c r="K85" s="645" t="s">
        <v>256</v>
      </c>
      <c r="L85" s="636"/>
      <c r="M85" s="644"/>
    </row>
    <row r="86" spans="1:15" ht="12.75" customHeight="1">
      <c r="I86" s="563" t="s">
        <v>341</v>
      </c>
      <c r="J86" s="564"/>
      <c r="K86" s="635" t="s">
        <v>571</v>
      </c>
      <c r="L86" s="636"/>
      <c r="M86" s="391" t="s">
        <v>342</v>
      </c>
    </row>
    <row r="87" spans="1:15" ht="12.75" customHeight="1" thickBot="1">
      <c r="B87" s="392"/>
      <c r="I87" s="565" t="s">
        <v>229</v>
      </c>
      <c r="J87" s="566"/>
      <c r="K87" s="637">
        <v>989999</v>
      </c>
      <c r="L87" s="638"/>
      <c r="M87" s="639"/>
    </row>
    <row r="88" spans="1:15" ht="12.75" customHeight="1" thickBot="1">
      <c r="B88" s="393"/>
      <c r="C88" s="393"/>
      <c r="D88" s="394"/>
      <c r="E88" s="394"/>
      <c r="F88" s="394"/>
      <c r="G88" s="395"/>
      <c r="H88" s="393"/>
      <c r="I88" s="393"/>
      <c r="J88" s="393"/>
      <c r="K88" s="393"/>
      <c r="L88" s="393"/>
      <c r="M88" s="393"/>
    </row>
    <row r="89" spans="1:15" ht="29.25" customHeight="1" thickBot="1">
      <c r="C89" s="663" t="s">
        <v>343</v>
      </c>
      <c r="D89" s="664"/>
      <c r="E89" s="632" t="s">
        <v>175</v>
      </c>
      <c r="F89" s="633"/>
      <c r="G89" s="634"/>
      <c r="H89" s="541" t="s">
        <v>560</v>
      </c>
      <c r="I89" s="669" t="s">
        <v>292</v>
      </c>
      <c r="J89" s="670"/>
      <c r="K89" s="554" t="s">
        <v>561</v>
      </c>
      <c r="L89" s="540" t="s">
        <v>285</v>
      </c>
      <c r="M89" s="396" t="s">
        <v>286</v>
      </c>
      <c r="N89" s="148"/>
      <c r="O89" s="148"/>
    </row>
    <row r="90" spans="1:15" ht="12.75" customHeight="1" thickTop="1">
      <c r="C90" s="665">
        <v>39873</v>
      </c>
      <c r="D90" s="666"/>
      <c r="E90" s="567"/>
      <c r="F90" s="397" t="s">
        <v>176</v>
      </c>
      <c r="G90" s="398"/>
      <c r="H90" s="456"/>
      <c r="I90" s="671"/>
      <c r="J90" s="672"/>
      <c r="K90" s="450"/>
      <c r="L90" s="452"/>
      <c r="M90" s="453">
        <f>L90</f>
        <v>0</v>
      </c>
      <c r="N90" s="148"/>
      <c r="O90" s="148"/>
    </row>
    <row r="91" spans="1:15" ht="12.75" customHeight="1">
      <c r="C91" s="667">
        <v>39874</v>
      </c>
      <c r="D91" s="668"/>
      <c r="E91" s="399">
        <v>0.375</v>
      </c>
      <c r="F91" s="400" t="s">
        <v>176</v>
      </c>
      <c r="G91" s="401">
        <v>0.72916666666666663</v>
      </c>
      <c r="H91" s="456"/>
      <c r="I91" s="661"/>
      <c r="J91" s="662"/>
      <c r="K91" s="451"/>
      <c r="L91" s="454">
        <v>0.3125</v>
      </c>
      <c r="M91" s="455">
        <f>SUM($L$90:L91)</f>
        <v>0.3125</v>
      </c>
      <c r="N91" s="148"/>
      <c r="O91" s="148"/>
    </row>
    <row r="92" spans="1:15" ht="12.75" customHeight="1">
      <c r="C92" s="667">
        <v>39875</v>
      </c>
      <c r="D92" s="668"/>
      <c r="E92" s="402"/>
      <c r="F92" s="403" t="s">
        <v>176</v>
      </c>
      <c r="G92" s="404"/>
      <c r="H92" s="456" t="s">
        <v>563</v>
      </c>
      <c r="I92" s="661"/>
      <c r="J92" s="662"/>
      <c r="K92" s="451"/>
      <c r="L92" s="454"/>
      <c r="M92" s="455">
        <f>SUM($L$90:L92)</f>
        <v>0.3125</v>
      </c>
      <c r="N92" s="148"/>
      <c r="O92" s="148"/>
    </row>
    <row r="93" spans="1:15" ht="12.75" customHeight="1">
      <c r="C93" s="667">
        <v>39876</v>
      </c>
      <c r="D93" s="668"/>
      <c r="E93" s="399">
        <v>0.91666666666666663</v>
      </c>
      <c r="F93" s="400" t="s">
        <v>176</v>
      </c>
      <c r="G93" s="401">
        <v>1.2916666666666667</v>
      </c>
      <c r="H93" s="456"/>
      <c r="I93" s="661">
        <v>8.3333333333333329E-2</v>
      </c>
      <c r="J93" s="662"/>
      <c r="K93" s="451"/>
      <c r="L93" s="454">
        <v>0.33333333333333331</v>
      </c>
      <c r="M93" s="455">
        <f>SUM($L$90:L93)</f>
        <v>0.64583333333333326</v>
      </c>
      <c r="N93" s="148"/>
      <c r="O93" s="148"/>
    </row>
    <row r="94" spans="1:15" ht="12.75" customHeight="1">
      <c r="C94" s="667">
        <v>39877</v>
      </c>
      <c r="D94" s="668"/>
      <c r="E94" s="399">
        <v>0.375</v>
      </c>
      <c r="F94" s="400" t="s">
        <v>176</v>
      </c>
      <c r="G94" s="401">
        <v>0.83333333333333337</v>
      </c>
      <c r="H94" s="456"/>
      <c r="I94" s="661">
        <v>2.0833333333333332E-2</v>
      </c>
      <c r="J94" s="662"/>
      <c r="K94" s="451"/>
      <c r="L94" s="454">
        <v>0.41666666666666669</v>
      </c>
      <c r="M94" s="455">
        <f>SUM($L$90:L94)</f>
        <v>1.0625</v>
      </c>
      <c r="N94" s="148"/>
      <c r="O94" s="148"/>
    </row>
    <row r="95" spans="1:15" ht="12.75" customHeight="1">
      <c r="C95" s="667">
        <v>39878</v>
      </c>
      <c r="D95" s="668"/>
      <c r="E95" s="399">
        <v>0.375</v>
      </c>
      <c r="F95" s="400" t="s">
        <v>176</v>
      </c>
      <c r="G95" s="401">
        <v>1</v>
      </c>
      <c r="H95" s="456"/>
      <c r="I95" s="661"/>
      <c r="J95" s="662"/>
      <c r="K95" s="451">
        <v>0.16666666666666666</v>
      </c>
      <c r="L95" s="454">
        <v>0.39583333333333331</v>
      </c>
      <c r="M95" s="455">
        <f>SUM($L$90:L95)</f>
        <v>1.4583333333333333</v>
      </c>
      <c r="N95" s="148"/>
      <c r="O95" s="148"/>
    </row>
    <row r="96" spans="1:15" ht="12.75" customHeight="1">
      <c r="C96" s="667">
        <v>39879</v>
      </c>
      <c r="D96" s="668"/>
      <c r="E96" s="402"/>
      <c r="F96" s="403" t="s">
        <v>176</v>
      </c>
      <c r="G96" s="404"/>
      <c r="H96" s="456"/>
      <c r="I96" s="661"/>
      <c r="J96" s="662"/>
      <c r="K96" s="451"/>
      <c r="L96" s="454"/>
      <c r="M96" s="455">
        <f>SUM($L$90:L96)</f>
        <v>1.4583333333333333</v>
      </c>
      <c r="N96" s="148"/>
      <c r="O96" s="148"/>
    </row>
    <row r="97" spans="1:15" ht="12.75" customHeight="1">
      <c r="M97" s="148"/>
      <c r="N97" s="148"/>
      <c r="O97" s="148"/>
    </row>
    <row r="98" spans="1:15" ht="12.75" customHeight="1"/>
    <row r="99" spans="1:15" ht="12.75" customHeight="1"/>
    <row r="100" spans="1:15" ht="12.75" customHeight="1"/>
    <row r="101" spans="1:15" ht="12.75" customHeight="1"/>
    <row r="102" spans="1:15" ht="12.75" customHeight="1"/>
    <row r="103" spans="1:15" ht="12.75" customHeight="1"/>
    <row r="104" spans="1:15" s="150" customFormat="1" ht="12.75" customHeight="1">
      <c r="A104" s="358" t="s">
        <v>177</v>
      </c>
      <c r="B104" s="358"/>
      <c r="C104" s="358"/>
      <c r="D104" s="358"/>
      <c r="E104" s="358"/>
      <c r="F104" s="358"/>
      <c r="G104" s="358"/>
      <c r="H104" s="358"/>
      <c r="I104" s="358"/>
      <c r="J104" s="358"/>
      <c r="K104" s="358"/>
      <c r="O104" s="358"/>
    </row>
    <row r="105" spans="1:15" s="150" customFormat="1" ht="12.75" customHeight="1">
      <c r="A105" s="371"/>
      <c r="B105" s="371" t="s">
        <v>311</v>
      </c>
      <c r="C105" s="371"/>
      <c r="D105" s="371"/>
      <c r="E105" s="371"/>
      <c r="F105" s="371"/>
      <c r="G105" s="371"/>
      <c r="H105" s="371"/>
      <c r="I105" s="371"/>
      <c r="J105" s="371"/>
      <c r="K105" s="371"/>
      <c r="O105" s="358"/>
    </row>
    <row r="106" spans="1:15" s="150" customFormat="1" ht="12.75" customHeight="1">
      <c r="A106" s="371"/>
      <c r="B106" s="371" t="s">
        <v>312</v>
      </c>
      <c r="C106" s="371"/>
      <c r="D106" s="371"/>
      <c r="E106" s="371"/>
      <c r="F106" s="371"/>
      <c r="G106" s="371"/>
      <c r="H106" s="371"/>
      <c r="I106" s="371"/>
      <c r="J106" s="371"/>
      <c r="K106" s="371"/>
      <c r="O106" s="358"/>
    </row>
    <row r="107" spans="1:15" s="150" customFormat="1" ht="12.75" customHeight="1">
      <c r="A107" s="371" t="s">
        <v>313</v>
      </c>
      <c r="B107" s="371" t="s">
        <v>314</v>
      </c>
      <c r="C107" s="371"/>
      <c r="D107" s="371"/>
      <c r="E107" s="371"/>
      <c r="F107" s="371"/>
      <c r="G107" s="371"/>
      <c r="H107" s="371"/>
      <c r="I107" s="371"/>
      <c r="J107" s="371"/>
      <c r="K107" s="371"/>
      <c r="O107" s="358"/>
    </row>
    <row r="108" spans="1:15" s="150" customFormat="1" ht="12.75" customHeight="1">
      <c r="A108" s="371"/>
      <c r="B108" s="371"/>
      <c r="C108" s="372" t="s">
        <v>315</v>
      </c>
      <c r="D108" s="371" t="s">
        <v>316</v>
      </c>
      <c r="E108" s="371"/>
      <c r="F108" s="371"/>
      <c r="G108" s="373" t="s">
        <v>317</v>
      </c>
      <c r="H108" s="371"/>
      <c r="I108" s="371"/>
      <c r="J108" s="371"/>
      <c r="K108" s="371"/>
      <c r="L108" s="371"/>
      <c r="M108" s="358"/>
      <c r="N108" s="358"/>
      <c r="O108" s="358"/>
    </row>
    <row r="109" spans="1:15" s="150" customFormat="1" ht="12.75" customHeight="1">
      <c r="A109" s="371"/>
      <c r="B109" s="371"/>
      <c r="C109" s="371"/>
      <c r="D109" s="371" t="s">
        <v>318</v>
      </c>
      <c r="E109" s="371"/>
      <c r="F109" s="371"/>
      <c r="G109" s="373" t="s">
        <v>319</v>
      </c>
      <c r="H109" s="371"/>
      <c r="I109" s="371"/>
      <c r="J109" s="371"/>
      <c r="K109" s="371"/>
      <c r="L109" s="371"/>
      <c r="M109" s="358"/>
      <c r="N109" s="358"/>
      <c r="O109" s="358"/>
    </row>
    <row r="110" spans="1:15" s="150" customFormat="1" ht="12.75" customHeight="1">
      <c r="A110" s="371"/>
      <c r="B110" s="371"/>
      <c r="C110" s="371"/>
      <c r="D110" s="371" t="s">
        <v>320</v>
      </c>
      <c r="E110" s="371"/>
      <c r="F110" s="371"/>
      <c r="G110" s="373" t="s">
        <v>321</v>
      </c>
      <c r="H110" s="371"/>
      <c r="I110" s="371" t="s">
        <v>567</v>
      </c>
      <c r="J110" s="371"/>
      <c r="K110" s="371"/>
      <c r="L110" s="371"/>
      <c r="M110" s="358"/>
      <c r="N110" s="358"/>
      <c r="O110" s="358"/>
    </row>
    <row r="111" spans="1:15" s="150" customFormat="1" ht="12.75" customHeight="1">
      <c r="A111" s="371"/>
      <c r="B111" s="371"/>
      <c r="C111" s="371"/>
      <c r="D111" s="371" t="s">
        <v>322</v>
      </c>
      <c r="E111" s="371"/>
      <c r="F111" s="371"/>
      <c r="G111" s="373" t="s">
        <v>323</v>
      </c>
      <c r="H111" s="371"/>
      <c r="I111" s="371"/>
      <c r="J111" s="371"/>
      <c r="K111" s="371"/>
      <c r="L111" s="371"/>
      <c r="M111" s="358"/>
      <c r="N111" s="358"/>
      <c r="O111" s="358"/>
    </row>
    <row r="112" spans="1:15" s="150" customFormat="1" ht="12.75" customHeight="1">
      <c r="A112" s="371"/>
      <c r="B112" s="371"/>
      <c r="C112" s="371"/>
      <c r="D112" s="371" t="s">
        <v>565</v>
      </c>
      <c r="E112" s="371"/>
      <c r="F112" s="371"/>
      <c r="G112" s="373" t="s">
        <v>566</v>
      </c>
      <c r="H112" s="371"/>
      <c r="I112" s="371"/>
      <c r="J112" s="371"/>
      <c r="K112" s="371"/>
      <c r="L112" s="371"/>
      <c r="M112" s="358"/>
      <c r="N112" s="358"/>
      <c r="O112" s="358"/>
    </row>
    <row r="113" spans="1:15" s="150" customFormat="1" ht="12.75" customHeight="1">
      <c r="A113" s="358"/>
      <c r="B113" s="360" t="s">
        <v>288</v>
      </c>
      <c r="C113" s="360"/>
      <c r="D113" s="360"/>
      <c r="E113" s="358"/>
      <c r="F113" s="358"/>
      <c r="G113" s="374"/>
      <c r="H113" s="358"/>
      <c r="I113" s="358"/>
      <c r="J113" s="358"/>
      <c r="K113" s="358"/>
      <c r="L113" s="358"/>
      <c r="M113" s="358"/>
      <c r="N113" s="358"/>
      <c r="O113" s="358"/>
    </row>
    <row r="114" spans="1:15" s="150" customFormat="1" ht="12.75" customHeight="1">
      <c r="A114" s="358" t="s">
        <v>324</v>
      </c>
      <c r="B114" s="358"/>
      <c r="C114" s="358"/>
      <c r="D114" s="358"/>
      <c r="E114" s="358"/>
      <c r="F114" s="358"/>
      <c r="G114" s="358"/>
      <c r="H114" s="358"/>
      <c r="I114" s="358"/>
      <c r="J114" s="358"/>
      <c r="K114" s="358"/>
      <c r="L114" s="358"/>
      <c r="M114" s="358"/>
      <c r="N114" s="358"/>
      <c r="O114" s="358"/>
    </row>
    <row r="115" spans="1:15" s="150" customFormat="1" ht="12.75" customHeight="1">
      <c r="A115" s="358" t="s">
        <v>170</v>
      </c>
      <c r="B115" s="375" t="s">
        <v>391</v>
      </c>
      <c r="C115" s="358"/>
      <c r="D115" s="358"/>
      <c r="E115" s="358"/>
      <c r="F115" s="358"/>
      <c r="G115" s="358"/>
      <c r="H115" s="358"/>
      <c r="I115" s="358"/>
      <c r="J115" s="358"/>
      <c r="K115" s="358"/>
      <c r="L115" s="358"/>
      <c r="M115" s="358"/>
      <c r="N115" s="358"/>
      <c r="O115" s="358"/>
    </row>
    <row r="116" spans="1:15" s="150" customFormat="1" ht="12.75" customHeight="1">
      <c r="A116" s="358"/>
      <c r="B116" s="375" t="s">
        <v>325</v>
      </c>
      <c r="C116" s="358"/>
      <c r="D116" s="358"/>
      <c r="E116" s="358"/>
      <c r="F116" s="358"/>
      <c r="G116" s="358"/>
      <c r="H116" s="358"/>
      <c r="I116" s="358"/>
      <c r="J116" s="358"/>
      <c r="K116" s="358"/>
      <c r="L116" s="358"/>
      <c r="M116" s="358"/>
      <c r="N116" s="358"/>
      <c r="O116" s="358"/>
    </row>
    <row r="117" spans="1:15" s="150" customFormat="1" ht="12.75" hidden="1" customHeight="1">
      <c r="A117" s="358"/>
      <c r="B117" s="375"/>
      <c r="C117" s="358"/>
      <c r="D117" s="358"/>
      <c r="E117" s="358"/>
      <c r="F117" s="358"/>
      <c r="G117" s="358"/>
      <c r="H117" s="358"/>
      <c r="I117" s="358"/>
      <c r="J117" s="358"/>
      <c r="K117" s="358"/>
      <c r="L117" s="358"/>
      <c r="M117" s="358"/>
      <c r="N117" s="358"/>
      <c r="O117" s="358"/>
    </row>
    <row r="118" spans="1:15" s="150" customFormat="1" ht="12.75" hidden="1" customHeight="1">
      <c r="A118" s="358"/>
      <c r="B118" s="360"/>
      <c r="C118" s="358"/>
      <c r="D118" s="358"/>
      <c r="E118" s="358"/>
      <c r="F118" s="358"/>
      <c r="G118" s="358"/>
      <c r="H118" s="358"/>
      <c r="I118" s="358"/>
      <c r="J118" s="358"/>
      <c r="K118" s="358"/>
      <c r="L118" s="358"/>
      <c r="M118" s="358"/>
      <c r="N118" s="358"/>
      <c r="O118" s="358"/>
    </row>
    <row r="119" spans="1:15" s="150" customFormat="1" ht="12.75" customHeight="1">
      <c r="A119" s="358"/>
      <c r="B119" s="358"/>
      <c r="C119" s="358"/>
      <c r="D119" s="358"/>
      <c r="E119" s="358"/>
      <c r="F119" s="358"/>
      <c r="G119" s="358"/>
      <c r="H119" s="358"/>
      <c r="I119" s="358"/>
      <c r="J119" s="358"/>
      <c r="K119" s="358"/>
      <c r="L119" s="358"/>
      <c r="M119" s="358"/>
      <c r="N119" s="358"/>
      <c r="O119" s="358"/>
    </row>
    <row r="120" spans="1:15" s="150" customFormat="1" ht="12.75" customHeight="1">
      <c r="A120" s="371" t="s">
        <v>568</v>
      </c>
      <c r="B120" s="371"/>
      <c r="C120" s="371"/>
      <c r="D120" s="371"/>
      <c r="E120" s="371"/>
      <c r="F120" s="371"/>
      <c r="G120" s="371"/>
      <c r="H120" s="371"/>
      <c r="I120" s="371"/>
      <c r="J120" s="371"/>
      <c r="K120" s="371"/>
      <c r="L120" s="371"/>
      <c r="M120" s="358"/>
      <c r="N120" s="358"/>
      <c r="O120" s="358"/>
    </row>
    <row r="121" spans="1:15" s="150" customFormat="1" ht="12.75" customHeight="1">
      <c r="A121" s="371" t="s">
        <v>326</v>
      </c>
      <c r="B121" s="371" t="s">
        <v>564</v>
      </c>
      <c r="C121" s="371"/>
      <c r="D121" s="371"/>
      <c r="E121" s="371"/>
      <c r="F121" s="371"/>
      <c r="G121" s="371"/>
      <c r="H121" s="371"/>
      <c r="I121" s="371"/>
      <c r="J121" s="371"/>
      <c r="K121" s="371"/>
      <c r="L121" s="371"/>
      <c r="M121" s="358"/>
      <c r="N121" s="358"/>
      <c r="O121" s="358"/>
    </row>
    <row r="122" spans="1:15" s="150" customFormat="1" ht="12.75" customHeight="1">
      <c r="A122" s="371" t="s">
        <v>327</v>
      </c>
      <c r="B122" s="371" t="s">
        <v>569</v>
      </c>
      <c r="C122" s="371"/>
      <c r="D122" s="371"/>
      <c r="E122" s="371"/>
      <c r="F122" s="371"/>
      <c r="G122" s="371"/>
      <c r="H122" s="371"/>
      <c r="I122" s="371"/>
      <c r="J122" s="371"/>
      <c r="K122" s="371"/>
      <c r="L122" s="371"/>
      <c r="M122" s="358"/>
      <c r="N122" s="358"/>
      <c r="O122" s="358"/>
    </row>
    <row r="123" spans="1:15" s="150" customFormat="1" ht="12.75" customHeight="1">
      <c r="A123" s="371" t="s">
        <v>328</v>
      </c>
      <c r="B123" s="371"/>
      <c r="C123" s="371"/>
      <c r="D123" s="371"/>
      <c r="E123" s="371"/>
      <c r="F123" s="371"/>
      <c r="G123" s="371"/>
      <c r="H123" s="371"/>
      <c r="I123" s="371"/>
      <c r="J123" s="371"/>
      <c r="K123" s="371"/>
      <c r="L123" s="371"/>
      <c r="M123" s="358"/>
      <c r="N123" s="358"/>
      <c r="O123" s="358"/>
    </row>
    <row r="124" spans="1:15" s="150" customFormat="1" ht="12.75" customHeight="1">
      <c r="A124" s="371" t="s">
        <v>329</v>
      </c>
      <c r="B124" s="371"/>
      <c r="C124" s="371"/>
      <c r="D124" s="371" t="s">
        <v>399</v>
      </c>
      <c r="E124" s="371"/>
      <c r="F124" s="371"/>
      <c r="G124" s="371"/>
      <c r="H124" s="371"/>
      <c r="I124" s="371"/>
      <c r="J124" s="371"/>
      <c r="K124" s="371"/>
      <c r="M124" s="358"/>
      <c r="N124" s="358"/>
      <c r="O124" s="358"/>
    </row>
    <row r="125" spans="1:15" s="150" customFormat="1" ht="12.75" customHeight="1">
      <c r="A125" s="371"/>
      <c r="B125" s="371" t="s">
        <v>363</v>
      </c>
      <c r="C125" s="371"/>
      <c r="D125" s="371"/>
      <c r="E125" s="371"/>
      <c r="F125" s="371"/>
      <c r="G125" s="371"/>
      <c r="H125" s="371"/>
      <c r="I125" s="371"/>
      <c r="J125" s="371"/>
      <c r="K125" s="371"/>
      <c r="L125" s="371"/>
      <c r="M125" s="358"/>
      <c r="N125" s="358"/>
      <c r="O125" s="358"/>
    </row>
    <row r="126" spans="1:15" s="150" customFormat="1" ht="12.75" customHeight="1">
      <c r="A126" s="371"/>
      <c r="B126" s="371" t="s">
        <v>330</v>
      </c>
      <c r="C126" s="371"/>
      <c r="D126" s="371"/>
      <c r="E126" s="371"/>
      <c r="F126" s="371"/>
      <c r="G126" s="371"/>
      <c r="H126" s="371"/>
      <c r="I126" s="371"/>
      <c r="J126" s="371"/>
      <c r="K126" s="371"/>
      <c r="L126" s="371"/>
      <c r="M126" s="358"/>
      <c r="N126" s="358"/>
      <c r="O126" s="358"/>
    </row>
    <row r="127" spans="1:15" s="150" customFormat="1" ht="12.75" customHeight="1">
      <c r="A127" s="371"/>
      <c r="B127" s="376" t="s">
        <v>397</v>
      </c>
      <c r="C127" s="376"/>
      <c r="D127" s="377"/>
      <c r="E127" s="377"/>
      <c r="F127" s="377"/>
      <c r="G127" s="376"/>
      <c r="H127" s="377"/>
      <c r="I127" s="377"/>
      <c r="J127" s="377"/>
      <c r="K127" s="377"/>
      <c r="L127" s="371"/>
      <c r="M127" s="358"/>
      <c r="N127" s="358"/>
      <c r="O127" s="358"/>
    </row>
    <row r="128" spans="1:15" s="150" customFormat="1" ht="12.75" customHeight="1">
      <c r="A128" s="371"/>
      <c r="B128" s="376" t="s">
        <v>398</v>
      </c>
      <c r="C128" s="376"/>
      <c r="D128" s="377"/>
      <c r="E128" s="377"/>
      <c r="F128" s="377"/>
      <c r="G128" s="376"/>
      <c r="H128" s="377"/>
      <c r="I128" s="377"/>
      <c r="J128" s="377"/>
      <c r="K128" s="377"/>
      <c r="L128" s="371"/>
      <c r="M128" s="358"/>
      <c r="N128" s="358"/>
      <c r="O128" s="358"/>
    </row>
    <row r="129" spans="1:15" s="150" customFormat="1" ht="12.75" customHeight="1">
      <c r="A129" s="371"/>
      <c r="B129" s="371" t="s">
        <v>331</v>
      </c>
      <c r="C129" s="371"/>
      <c r="D129" s="371"/>
      <c r="E129" s="371"/>
      <c r="F129" s="371"/>
      <c r="G129" s="371"/>
      <c r="H129" s="371"/>
      <c r="I129" s="371"/>
      <c r="J129" s="371"/>
      <c r="K129" s="371"/>
      <c r="L129" s="371"/>
      <c r="M129" s="358"/>
      <c r="N129" s="358"/>
      <c r="O129" s="358"/>
    </row>
    <row r="130" spans="1:15" s="150" customFormat="1" ht="12.75" customHeight="1">
      <c r="A130" s="371"/>
      <c r="B130" s="371"/>
      <c r="C130" s="371"/>
      <c r="D130" s="371"/>
      <c r="E130" s="371"/>
      <c r="F130" s="371"/>
      <c r="G130" s="371"/>
      <c r="H130" s="371"/>
      <c r="I130" s="371"/>
      <c r="J130" s="371"/>
      <c r="K130" s="371"/>
      <c r="L130" s="371"/>
      <c r="M130" s="358"/>
      <c r="N130" s="358"/>
      <c r="O130" s="358"/>
    </row>
    <row r="131" spans="1:15" s="150" customFormat="1" ht="12.75" customHeight="1">
      <c r="A131" s="371" t="s">
        <v>562</v>
      </c>
      <c r="B131" s="371"/>
      <c r="C131" s="371"/>
      <c r="D131" s="371"/>
      <c r="E131" s="371"/>
      <c r="F131" s="371"/>
      <c r="G131" s="371"/>
      <c r="H131" s="371"/>
      <c r="I131" s="371"/>
      <c r="J131" s="371"/>
      <c r="K131" s="371"/>
      <c r="L131" s="371"/>
      <c r="M131" s="358"/>
      <c r="N131" s="358"/>
      <c r="O131" s="358"/>
    </row>
    <row r="132" spans="1:15" s="150" customFormat="1" ht="12.75" customHeight="1">
      <c r="A132" s="371"/>
      <c r="B132" s="371" t="s">
        <v>294</v>
      </c>
      <c r="C132" s="371"/>
      <c r="D132" s="371"/>
      <c r="E132" s="371"/>
      <c r="F132" s="371"/>
      <c r="G132" s="371"/>
      <c r="H132" s="371"/>
      <c r="I132" s="371"/>
      <c r="J132" s="371"/>
      <c r="K132" s="371"/>
      <c r="L132" s="371"/>
      <c r="M132" s="358"/>
      <c r="N132" s="358"/>
      <c r="O132" s="358"/>
    </row>
    <row r="133" spans="1:15" s="150" customFormat="1" ht="12.75" customHeight="1">
      <c r="A133" s="371"/>
      <c r="B133" s="371" t="s">
        <v>332</v>
      </c>
      <c r="C133" s="371"/>
      <c r="D133" s="371"/>
      <c r="E133" s="371"/>
      <c r="F133" s="371"/>
      <c r="G133" s="371"/>
      <c r="H133" s="371"/>
      <c r="I133" s="371"/>
      <c r="J133" s="371"/>
      <c r="K133" s="371"/>
      <c r="L133" s="371"/>
      <c r="M133" s="358"/>
      <c r="N133" s="358"/>
      <c r="O133" s="358"/>
    </row>
    <row r="134" spans="1:15" s="150" customFormat="1" ht="12.75" customHeight="1">
      <c r="A134" s="358"/>
      <c r="B134" s="360"/>
      <c r="C134" s="358"/>
      <c r="D134" s="358"/>
      <c r="E134" s="358"/>
      <c r="F134" s="358"/>
      <c r="G134" s="358"/>
      <c r="H134" s="358"/>
      <c r="I134" s="358"/>
      <c r="J134" s="358"/>
      <c r="K134" s="358"/>
      <c r="L134" s="358"/>
      <c r="M134" s="358"/>
      <c r="N134" s="358"/>
      <c r="O134" s="358"/>
    </row>
    <row r="135" spans="1:15" s="150" customFormat="1" ht="12.75" customHeight="1">
      <c r="A135" s="358" t="s">
        <v>333</v>
      </c>
      <c r="B135" s="358"/>
      <c r="C135" s="358"/>
      <c r="D135" s="358"/>
      <c r="E135" s="358"/>
      <c r="F135" s="358"/>
      <c r="G135" s="358"/>
      <c r="H135" s="358"/>
      <c r="I135" s="358"/>
      <c r="J135" s="358"/>
      <c r="K135" s="358"/>
      <c r="L135" s="358"/>
      <c r="M135" s="358"/>
      <c r="N135" s="358"/>
      <c r="O135" s="358"/>
    </row>
    <row r="136" spans="1:15" s="150" customFormat="1" ht="12.75" customHeight="1">
      <c r="A136" s="358"/>
      <c r="B136" s="360" t="s">
        <v>334</v>
      </c>
      <c r="C136" s="358"/>
      <c r="D136" s="358"/>
      <c r="E136" s="358"/>
      <c r="F136" s="358"/>
      <c r="G136" s="358"/>
      <c r="H136" s="358"/>
      <c r="I136" s="358"/>
      <c r="J136" s="358"/>
      <c r="K136" s="358"/>
      <c r="L136" s="358"/>
      <c r="M136" s="358"/>
      <c r="N136" s="358"/>
      <c r="O136" s="358"/>
    </row>
    <row r="137" spans="1:15" ht="12.75" customHeight="1" thickBot="1"/>
    <row r="138" spans="1:15" ht="12.75" customHeight="1" thickTop="1" thickBot="1">
      <c r="A138" s="647" t="s">
        <v>178</v>
      </c>
      <c r="B138" s="647"/>
      <c r="C138" s="647"/>
      <c r="D138" s="647"/>
      <c r="E138" s="647"/>
      <c r="F138" s="647"/>
      <c r="G138" s="647"/>
      <c r="H138" s="647"/>
      <c r="I138" s="647"/>
      <c r="J138" s="647"/>
      <c r="K138" s="647"/>
      <c r="L138" s="647"/>
      <c r="M138" s="647"/>
      <c r="N138" s="647"/>
      <c r="O138" s="647"/>
    </row>
    <row r="139" spans="1:15" ht="12.75" customHeight="1" thickTop="1"/>
    <row r="140" spans="1:15" ht="12.75" customHeight="1">
      <c r="B140" s="579" t="s">
        <v>577</v>
      </c>
    </row>
    <row r="141" spans="1:15" ht="12.75" customHeight="1"/>
    <row r="142" spans="1:15" ht="12.75" customHeight="1">
      <c r="B142" s="491" t="s">
        <v>578</v>
      </c>
    </row>
    <row r="143" spans="1:15" ht="12.75" customHeight="1">
      <c r="A143" s="389"/>
      <c r="B143" s="389" t="s">
        <v>344</v>
      </c>
    </row>
    <row r="144" spans="1:15" ht="12.75" customHeight="1">
      <c r="A144" s="389" t="s">
        <v>345</v>
      </c>
      <c r="B144" s="389" t="s">
        <v>346</v>
      </c>
    </row>
    <row r="145" spans="1:20" ht="12.75" customHeight="1">
      <c r="A145" s="389" t="s">
        <v>347</v>
      </c>
      <c r="B145" s="389" t="s">
        <v>348</v>
      </c>
    </row>
    <row r="146" spans="1:20" ht="12.75" customHeight="1" thickBot="1"/>
    <row r="147" spans="1:20" ht="12.75" customHeight="1" thickTop="1" thickBot="1">
      <c r="A147" s="647" t="s">
        <v>179</v>
      </c>
      <c r="B147" s="647"/>
      <c r="C147" s="647"/>
      <c r="D147" s="647"/>
      <c r="E147" s="647"/>
      <c r="F147" s="647"/>
      <c r="G147" s="647"/>
      <c r="H147" s="647"/>
      <c r="I147" s="647"/>
      <c r="J147" s="647"/>
      <c r="K147" s="647"/>
      <c r="L147" s="647"/>
      <c r="M147" s="647"/>
      <c r="N147" s="647"/>
      <c r="O147" s="647"/>
    </row>
    <row r="148" spans="1:20" ht="12.75" customHeight="1" thickTop="1"/>
    <row r="149" spans="1:20" ht="12.75" customHeight="1">
      <c r="B149" s="363" t="s">
        <v>180</v>
      </c>
    </row>
    <row r="150" spans="1:20" ht="12.75" customHeight="1">
      <c r="A150" s="363" t="s">
        <v>345</v>
      </c>
      <c r="B150" s="363" t="s">
        <v>181</v>
      </c>
    </row>
    <row r="151" spans="1:20" ht="12.75" customHeight="1">
      <c r="A151" s="363" t="s">
        <v>345</v>
      </c>
      <c r="B151" s="363" t="s">
        <v>182</v>
      </c>
    </row>
    <row r="152" spans="1:20" ht="12.75" customHeight="1"/>
    <row r="153" spans="1:20" ht="12.75" customHeight="1">
      <c r="A153" s="363" t="s">
        <v>345</v>
      </c>
      <c r="B153" s="363" t="s">
        <v>183</v>
      </c>
    </row>
    <row r="154" spans="1:20" ht="12.75" customHeight="1">
      <c r="A154" s="363" t="s">
        <v>345</v>
      </c>
      <c r="B154" s="363" t="s">
        <v>349</v>
      </c>
    </row>
    <row r="155" spans="1:20" ht="12.75" customHeight="1">
      <c r="A155" s="363" t="s">
        <v>345</v>
      </c>
      <c r="B155" s="363" t="s">
        <v>350</v>
      </c>
    </row>
    <row r="156" spans="1:20" ht="12.75" customHeight="1">
      <c r="B156" s="529" t="str">
        <f ca="1">"日当は「"&amp;  R157 &amp;"」、海外出張の場合は「計算対象外」としてください。"</f>
        <v>日当は「10%仮払消費税」、海外出張の場合は「計算対象外」としてください。</v>
      </c>
      <c r="R156" s="148">
        <f ca="1">IF(R2&gt;=S157,1,0)</f>
        <v>1</v>
      </c>
      <c r="S156" s="609">
        <v>43738</v>
      </c>
      <c r="T156" s="608" t="s">
        <v>628</v>
      </c>
    </row>
    <row r="157" spans="1:20" ht="12.75" customHeight="1">
      <c r="R157" s="148" t="str">
        <f ca="1">IF(R156,T157,T156)</f>
        <v>10%仮払消費税</v>
      </c>
      <c r="S157" s="609">
        <v>43739</v>
      </c>
      <c r="T157" s="608" t="s">
        <v>629</v>
      </c>
    </row>
    <row r="158" spans="1:20" ht="12.75" customHeight="1">
      <c r="A158" s="363" t="s">
        <v>174</v>
      </c>
    </row>
    <row r="159" spans="1:20" ht="12.75" customHeight="1" thickBot="1"/>
    <row r="160" spans="1:20" ht="12.75" customHeight="1">
      <c r="B160" s="405" t="s">
        <v>191</v>
      </c>
      <c r="C160" s="406"/>
      <c r="D160" s="407"/>
      <c r="E160" s="653">
        <v>41736</v>
      </c>
      <c r="F160" s="654"/>
      <c r="G160" s="654"/>
      <c r="H160" s="408" t="s">
        <v>192</v>
      </c>
      <c r="I160" s="654">
        <v>41740</v>
      </c>
      <c r="J160" s="654"/>
      <c r="K160" s="654"/>
      <c r="L160" s="409">
        <f>DATEDIF(E160,I160,"D")</f>
        <v>4</v>
      </c>
      <c r="M160" s="410">
        <f>L160+1</f>
        <v>5</v>
      </c>
    </row>
    <row r="161" spans="2:13" ht="12.75" customHeight="1">
      <c r="B161" s="411" t="s">
        <v>193</v>
      </c>
      <c r="C161" s="412"/>
      <c r="D161" s="413"/>
      <c r="E161" s="414" t="s">
        <v>263</v>
      </c>
      <c r="F161" s="415"/>
      <c r="G161" s="415"/>
      <c r="H161" s="415"/>
      <c r="I161" s="415"/>
      <c r="J161" s="415"/>
      <c r="K161" s="415"/>
      <c r="L161" s="415"/>
      <c r="M161" s="416"/>
    </row>
    <row r="162" spans="2:13" ht="12.75" customHeight="1" thickBot="1">
      <c r="B162" s="417" t="s">
        <v>194</v>
      </c>
      <c r="C162" s="418"/>
      <c r="D162" s="419"/>
      <c r="E162" s="420" t="s">
        <v>264</v>
      </c>
      <c r="F162" s="421"/>
      <c r="G162" s="421"/>
      <c r="H162" s="421"/>
      <c r="I162" s="421"/>
      <c r="J162" s="421"/>
      <c r="K162" s="421"/>
      <c r="L162" s="421"/>
      <c r="M162" s="422"/>
    </row>
    <row r="163" spans="2:13" ht="12.75" customHeight="1">
      <c r="B163" s="423"/>
      <c r="C163" s="423"/>
      <c r="D163" s="423"/>
      <c r="E163" s="423"/>
      <c r="F163" s="423"/>
      <c r="G163" s="423"/>
      <c r="H163" s="423"/>
      <c r="I163" s="423"/>
      <c r="J163" s="423"/>
      <c r="K163" s="423"/>
      <c r="L163" s="423"/>
      <c r="M163" s="423"/>
    </row>
    <row r="164" spans="2:13" ht="12.75" customHeight="1" thickBot="1">
      <c r="B164" s="424" t="s">
        <v>244</v>
      </c>
      <c r="C164" s="425"/>
      <c r="D164" s="425"/>
      <c r="E164" s="423"/>
      <c r="F164" s="425"/>
      <c r="G164" s="425"/>
      <c r="H164" s="425"/>
      <c r="I164" s="423"/>
      <c r="J164" s="423"/>
      <c r="K164" s="423"/>
      <c r="L164" s="423"/>
      <c r="M164" s="423"/>
    </row>
    <row r="165" spans="2:13" ht="12.75" customHeight="1">
      <c r="B165" s="523" t="s">
        <v>514</v>
      </c>
      <c r="C165" s="524" t="s">
        <v>351</v>
      </c>
      <c r="D165" s="521"/>
      <c r="E165" s="524"/>
      <c r="F165" s="658" t="s">
        <v>515</v>
      </c>
      <c r="G165" s="659"/>
      <c r="H165" s="660"/>
      <c r="I165" s="655" t="s">
        <v>352</v>
      </c>
      <c r="J165" s="656"/>
      <c r="K165" s="657"/>
      <c r="L165" s="525" t="s">
        <v>480</v>
      </c>
      <c r="M165" s="522" t="s">
        <v>513</v>
      </c>
    </row>
    <row r="166" spans="2:13" ht="12.75" customHeight="1">
      <c r="B166" s="426">
        <v>41736</v>
      </c>
      <c r="C166" s="414" t="s">
        <v>353</v>
      </c>
      <c r="D166" s="427"/>
      <c r="E166" s="428"/>
      <c r="F166" s="414" t="s">
        <v>259</v>
      </c>
      <c r="G166" s="429"/>
      <c r="H166" s="430">
        <v>0.25</v>
      </c>
      <c r="I166" s="414" t="s">
        <v>260</v>
      </c>
      <c r="J166" s="428"/>
      <c r="K166" s="430">
        <v>0.26041666666666669</v>
      </c>
      <c r="L166" s="504" t="str">
        <f ca="1">$R$157</f>
        <v>10%仮払消費税</v>
      </c>
      <c r="M166" s="431">
        <v>310</v>
      </c>
    </row>
    <row r="167" spans="2:13" ht="12.75" customHeight="1">
      <c r="B167" s="432">
        <v>41737</v>
      </c>
      <c r="C167" s="414" t="s">
        <v>354</v>
      </c>
      <c r="D167" s="427" t="s">
        <v>261</v>
      </c>
      <c r="E167" s="428"/>
      <c r="F167" s="414" t="s">
        <v>260</v>
      </c>
      <c r="G167" s="429"/>
      <c r="H167" s="430">
        <v>0.27083333333333331</v>
      </c>
      <c r="I167" s="414" t="s">
        <v>262</v>
      </c>
      <c r="J167" s="428"/>
      <c r="K167" s="430">
        <v>0.39583333333333331</v>
      </c>
      <c r="L167" s="504" t="str">
        <f t="shared" ref="L167:L171" ca="1" si="0">$R$157</f>
        <v>10%仮払消費税</v>
      </c>
      <c r="M167" s="431">
        <v>12680</v>
      </c>
    </row>
    <row r="168" spans="2:13" ht="12.75" customHeight="1">
      <c r="B168" s="432">
        <v>41737</v>
      </c>
      <c r="C168" s="414" t="s">
        <v>355</v>
      </c>
      <c r="D168" s="427"/>
      <c r="E168" s="428"/>
      <c r="F168" s="414" t="s">
        <v>262</v>
      </c>
      <c r="G168" s="429"/>
      <c r="H168" s="430">
        <v>0.40277777777777773</v>
      </c>
      <c r="I168" s="414" t="s">
        <v>263</v>
      </c>
      <c r="J168" s="428"/>
      <c r="K168" s="430">
        <v>0.40972222222222227</v>
      </c>
      <c r="L168" s="504" t="str">
        <f t="shared" ca="1" si="0"/>
        <v>10%仮払消費税</v>
      </c>
      <c r="M168" s="431">
        <v>800</v>
      </c>
    </row>
    <row r="169" spans="2:13" ht="12.75" customHeight="1">
      <c r="B169" s="432">
        <v>41738</v>
      </c>
      <c r="C169" s="414" t="s">
        <v>356</v>
      </c>
      <c r="D169" s="427"/>
      <c r="E169" s="428"/>
      <c r="F169" s="414" t="s">
        <v>263</v>
      </c>
      <c r="G169" s="429"/>
      <c r="H169" s="430">
        <v>0.85416666666666663</v>
      </c>
      <c r="I169" s="648" t="s">
        <v>357</v>
      </c>
      <c r="J169" s="649"/>
      <c r="K169" s="430">
        <v>0.875</v>
      </c>
      <c r="L169" s="504" t="str">
        <f t="shared" ca="1" si="0"/>
        <v>10%仮払消費税</v>
      </c>
      <c r="M169" s="431">
        <v>1900</v>
      </c>
    </row>
    <row r="170" spans="2:13" ht="12.75" customHeight="1">
      <c r="B170" s="432">
        <v>41740</v>
      </c>
      <c r="C170" s="414" t="s">
        <v>354</v>
      </c>
      <c r="D170" s="427" t="s">
        <v>261</v>
      </c>
      <c r="E170" s="428"/>
      <c r="F170" s="414" t="s">
        <v>262</v>
      </c>
      <c r="G170" s="429"/>
      <c r="H170" s="430">
        <v>0.33333333333333331</v>
      </c>
      <c r="I170" s="414" t="s">
        <v>260</v>
      </c>
      <c r="J170" s="519"/>
      <c r="K170" s="430">
        <v>0.45833333333333331</v>
      </c>
      <c r="L170" s="504" t="str">
        <f t="shared" ca="1" si="0"/>
        <v>10%仮払消費税</v>
      </c>
      <c r="M170" s="431">
        <v>12680</v>
      </c>
    </row>
    <row r="171" spans="2:13" ht="12.75" customHeight="1">
      <c r="B171" s="432">
        <v>41740</v>
      </c>
      <c r="C171" s="414" t="s">
        <v>358</v>
      </c>
      <c r="D171" s="427"/>
      <c r="E171" s="428"/>
      <c r="F171" s="414" t="s">
        <v>260</v>
      </c>
      <c r="G171" s="429"/>
      <c r="H171" s="430">
        <v>0.46527777777777773</v>
      </c>
      <c r="I171" s="414" t="s">
        <v>259</v>
      </c>
      <c r="J171" s="428"/>
      <c r="K171" s="430">
        <v>0.47916666666666669</v>
      </c>
      <c r="L171" s="504" t="str">
        <f t="shared" ca="1" si="0"/>
        <v>10%仮払消費税</v>
      </c>
      <c r="M171" s="431">
        <v>310</v>
      </c>
    </row>
    <row r="172" spans="2:13" ht="12.75" customHeight="1" thickBot="1">
      <c r="B172" s="433"/>
      <c r="C172" s="434"/>
      <c r="D172" s="435"/>
      <c r="E172" s="436"/>
      <c r="F172" s="434"/>
      <c r="G172" s="437"/>
      <c r="H172" s="438"/>
      <c r="I172" s="434"/>
      <c r="J172" s="437"/>
      <c r="K172" s="438"/>
      <c r="L172" s="520"/>
      <c r="M172" s="439"/>
    </row>
    <row r="173" spans="2:13" ht="12.75" customHeight="1" thickBot="1">
      <c r="I173" s="650" t="s">
        <v>197</v>
      </c>
      <c r="J173" s="651"/>
      <c r="K173" s="652"/>
      <c r="L173" s="440"/>
      <c r="M173" s="441">
        <f>P394+P346</f>
        <v>0</v>
      </c>
    </row>
    <row r="174" spans="2:13" ht="12.75" customHeight="1" thickBot="1">
      <c r="J174" s="442" t="s">
        <v>359</v>
      </c>
      <c r="K174" s="443" t="s">
        <v>199</v>
      </c>
      <c r="L174" s="444"/>
      <c r="M174" s="445">
        <f>SUM(M167:M172)</f>
        <v>28370</v>
      </c>
    </row>
    <row r="175" spans="2:13" ht="12.75" customHeight="1"/>
    <row r="176" spans="2:13" ht="12.75" customHeight="1">
      <c r="B176" s="491" t="s">
        <v>517</v>
      </c>
    </row>
    <row r="177" spans="1:15" ht="12.75" customHeight="1"/>
    <row r="178" spans="1:15" s="526" customFormat="1" ht="15.75" customHeight="1">
      <c r="B178" s="527" t="s">
        <v>518</v>
      </c>
      <c r="C178" s="528"/>
      <c r="D178" s="528"/>
      <c r="E178" s="528"/>
      <c r="F178" s="528"/>
      <c r="G178" s="528"/>
      <c r="J178" s="528"/>
      <c r="K178" s="528"/>
      <c r="L178" s="528"/>
      <c r="M178" s="528"/>
    </row>
    <row r="179" spans="1:15" s="526" customFormat="1" ht="15.75" customHeight="1">
      <c r="B179" s="527" t="s">
        <v>523</v>
      </c>
      <c r="C179" s="528"/>
      <c r="E179" s="528"/>
      <c r="F179" s="577" t="s">
        <v>607</v>
      </c>
      <c r="G179" s="528"/>
      <c r="J179" s="528"/>
      <c r="K179" s="528"/>
      <c r="L179" s="528"/>
      <c r="M179" s="528"/>
    </row>
    <row r="180" spans="1:15" s="526" customFormat="1" ht="15.75" customHeight="1">
      <c r="B180" s="527" t="s">
        <v>606</v>
      </c>
      <c r="C180" s="528"/>
      <c r="E180" s="528"/>
      <c r="F180" s="577" t="s">
        <v>608</v>
      </c>
      <c r="G180" s="528"/>
      <c r="J180" s="528"/>
      <c r="K180" s="528"/>
      <c r="L180" s="528"/>
      <c r="M180" s="528"/>
    </row>
    <row r="181" spans="1:15" s="526" customFormat="1" ht="15.75" customHeight="1">
      <c r="B181" s="527" t="s">
        <v>519</v>
      </c>
      <c r="C181" s="528"/>
      <c r="E181" s="528"/>
      <c r="F181" s="528" t="s">
        <v>520</v>
      </c>
      <c r="G181" s="528"/>
      <c r="J181" s="528"/>
      <c r="K181" s="528"/>
      <c r="L181" s="528"/>
      <c r="M181" s="528"/>
    </row>
    <row r="182" spans="1:15" s="526" customFormat="1" ht="15.75" customHeight="1">
      <c r="B182" s="527" t="s">
        <v>521</v>
      </c>
      <c r="C182" s="528"/>
      <c r="E182" s="528"/>
      <c r="F182" s="528" t="s">
        <v>522</v>
      </c>
      <c r="G182" s="528"/>
      <c r="J182" s="528"/>
      <c r="K182" s="528"/>
      <c r="L182" s="528"/>
      <c r="M182" s="528"/>
    </row>
    <row r="183" spans="1:15" ht="12.75" customHeight="1">
      <c r="H183" s="148"/>
      <c r="I183" s="148"/>
    </row>
    <row r="184" spans="1:15" ht="12.75" customHeight="1"/>
    <row r="185" spans="1:15" ht="12.75" customHeight="1"/>
    <row r="186" spans="1:15" ht="15" customHeight="1" thickBot="1"/>
    <row r="187" spans="1:15" ht="15" customHeight="1" thickTop="1" thickBot="1">
      <c r="A187" s="647" t="s">
        <v>129</v>
      </c>
      <c r="B187" s="647"/>
      <c r="C187" s="647"/>
      <c r="D187" s="647"/>
      <c r="E187" s="647"/>
      <c r="F187" s="647"/>
      <c r="G187" s="647"/>
      <c r="H187" s="647"/>
      <c r="I187" s="647"/>
      <c r="J187" s="647"/>
      <c r="K187" s="647"/>
      <c r="L187" s="647"/>
      <c r="M187" s="647"/>
      <c r="N187" s="647"/>
      <c r="O187" s="647"/>
    </row>
    <row r="188" spans="1:15" ht="15" customHeight="1" thickTop="1">
      <c r="A188" s="363" t="s">
        <v>130</v>
      </c>
      <c r="O188" s="446" t="s">
        <v>360</v>
      </c>
    </row>
    <row r="189" spans="1:15" ht="15" customHeight="1">
      <c r="B189" s="491" t="s">
        <v>598</v>
      </c>
      <c r="O189" s="446" t="s">
        <v>361</v>
      </c>
    </row>
    <row r="190" spans="1:15" ht="15" customHeight="1">
      <c r="A190" s="447"/>
      <c r="B190" s="363" t="s">
        <v>362</v>
      </c>
      <c r="C190" s="491" t="s">
        <v>595</v>
      </c>
    </row>
    <row r="191" spans="1:15" ht="15" customHeight="1">
      <c r="A191" s="447"/>
      <c r="B191" s="491" t="s">
        <v>599</v>
      </c>
      <c r="C191" s="626" t="s">
        <v>641</v>
      </c>
    </row>
    <row r="192" spans="1:15" ht="14.25" hidden="1" customHeight="1"/>
    <row r="193" spans="1:15" ht="14.25" hidden="1" customHeight="1">
      <c r="A193" s="448"/>
      <c r="O193" s="486">
        <v>807</v>
      </c>
    </row>
    <row r="194" spans="1:15" ht="14.25" hidden="1" customHeight="1"/>
    <row r="195" spans="1:15" ht="14.25" hidden="1" customHeight="1"/>
    <row r="196" spans="1:15" ht="14.25" hidden="1" customHeight="1"/>
    <row r="197" spans="1:15" ht="14.25" hidden="1" customHeight="1"/>
    <row r="198" spans="1:15" ht="14.25" hidden="1" customHeight="1"/>
    <row r="199" spans="1:15" ht="14.25" hidden="1" customHeight="1"/>
    <row r="200" spans="1:15" ht="14.25" hidden="1" customHeight="1"/>
    <row r="201" spans="1:15" ht="14.25" hidden="1" customHeight="1"/>
    <row r="202" spans="1:15" ht="14.25" hidden="1" customHeight="1"/>
    <row r="203" spans="1:15" ht="14.25" hidden="1" customHeight="1"/>
    <row r="204" spans="1:15" ht="14.25" hidden="1" customHeight="1"/>
    <row r="205" spans="1:15" ht="14.25" hidden="1" customHeight="1"/>
    <row r="206" spans="1:15" ht="14.25" hidden="1" customHeight="1"/>
    <row r="207" spans="1:15" ht="14.25" hidden="1" customHeight="1"/>
    <row r="208" spans="1:15" ht="14.25" hidden="1" customHeight="1"/>
    <row r="209" ht="14.25" hidden="1" customHeight="1"/>
    <row r="210" ht="14.25" hidden="1" customHeight="1"/>
    <row r="211" ht="14.25" hidden="1" customHeight="1"/>
    <row r="212" ht="14.25" hidden="1" customHeight="1"/>
    <row r="213" ht="14.25" hidden="1" customHeight="1"/>
    <row r="214" ht="14.25" hidden="1" customHeight="1"/>
    <row r="215" ht="14.25" hidden="1" customHeight="1"/>
    <row r="216" ht="14.25" hidden="1" customHeight="1"/>
    <row r="217" ht="14.25" hidden="1" customHeight="1"/>
    <row r="218" ht="14.25" hidden="1" customHeight="1"/>
    <row r="219" ht="14.25" hidden="1" customHeight="1"/>
    <row r="220" ht="14.25" hidden="1" customHeight="1"/>
    <row r="221" ht="14.25" hidden="1" customHeight="1"/>
    <row r="222" ht="14.25" hidden="1" customHeight="1"/>
    <row r="223" ht="14.25" hidden="1" customHeight="1"/>
    <row r="224" ht="14.25" hidden="1" customHeight="1"/>
    <row r="225" ht="14.25" hidden="1" customHeight="1"/>
    <row r="226" ht="14.25" hidden="1" customHeight="1"/>
    <row r="227" ht="14.25" hidden="1" customHeight="1"/>
    <row r="228" ht="14.25" hidden="1" customHeight="1"/>
    <row r="229" ht="14.25" hidden="1" customHeight="1"/>
    <row r="230" ht="14.25" hidden="1" customHeight="1"/>
    <row r="231" ht="14.25" hidden="1" customHeight="1"/>
    <row r="232" ht="14.25" hidden="1" customHeight="1"/>
    <row r="233" ht="14.25" hidden="1" customHeight="1"/>
    <row r="234" ht="14.25" hidden="1" customHeight="1"/>
    <row r="235" ht="14.25" hidden="1" customHeight="1"/>
    <row r="236" ht="14.25" hidden="1" customHeight="1"/>
    <row r="237" ht="14.25" hidden="1" customHeight="1"/>
    <row r="238" ht="14.25" hidden="1" customHeight="1"/>
    <row r="239" ht="14.25" hidden="1" customHeight="1"/>
    <row r="240" ht="14.25" hidden="1" customHeight="1"/>
    <row r="241" ht="14.25" hidden="1" customHeight="1"/>
    <row r="242" ht="14.25" hidden="1" customHeight="1"/>
    <row r="243" ht="14.25" hidden="1" customHeight="1"/>
    <row r="244" ht="14.25" hidden="1" customHeight="1"/>
    <row r="245" ht="14.25" hidden="1" customHeight="1"/>
    <row r="246" ht="14.25" hidden="1" customHeight="1"/>
    <row r="247" ht="14.25" hidden="1" customHeight="1"/>
    <row r="248" ht="14.25" hidden="1" customHeight="1"/>
    <row r="249" ht="14.25" hidden="1" customHeight="1"/>
    <row r="250" ht="14.25" hidden="1" customHeight="1"/>
    <row r="251" ht="14.25" hidden="1" customHeight="1"/>
    <row r="252" ht="14.25" hidden="1" customHeight="1"/>
    <row r="253" ht="14.25" hidden="1" customHeight="1"/>
    <row r="254" ht="14.25" hidden="1" customHeight="1"/>
    <row r="255" ht="14.25" hidden="1" customHeight="1"/>
    <row r="256" ht="14.25" hidden="1" customHeight="1"/>
    <row r="257" ht="14.25" hidden="1" customHeight="1"/>
    <row r="258" ht="14.25" hidden="1" customHeight="1"/>
    <row r="259" ht="14.25" hidden="1" customHeight="1"/>
    <row r="260" ht="14.25" hidden="1" customHeight="1"/>
    <row r="261" ht="14.25" hidden="1" customHeight="1"/>
    <row r="262" ht="14.25" hidden="1" customHeight="1"/>
    <row r="263" ht="14.25" hidden="1" customHeight="1"/>
    <row r="264" ht="14.25" hidden="1" customHeight="1"/>
    <row r="265" ht="14.25" hidden="1" customHeight="1"/>
    <row r="266" ht="14.25" hidden="1" customHeight="1"/>
    <row r="267" ht="14.25" hidden="1" customHeight="1"/>
    <row r="268" ht="14.25" hidden="1" customHeight="1"/>
    <row r="269" ht="14.25" hidden="1" customHeight="1"/>
    <row r="270" ht="14.25" hidden="1" customHeight="1"/>
    <row r="271" ht="14.25" hidden="1" customHeight="1"/>
    <row r="272" ht="14.25" hidden="1" customHeight="1"/>
    <row r="273" spans="1:18" ht="14.25" hidden="1" customHeight="1"/>
    <row r="274" spans="1:18" ht="14.25" hidden="1" customHeight="1">
      <c r="L274" s="449"/>
    </row>
    <row r="275" spans="1:18" ht="14.25" hidden="1" customHeight="1"/>
    <row r="276" spans="1:18" s="150" customFormat="1" ht="14.25" hidden="1" customHeight="1">
      <c r="A276" s="358"/>
      <c r="B276" s="358"/>
      <c r="C276" s="358"/>
      <c r="D276" s="358"/>
      <c r="E276" s="358"/>
      <c r="F276" s="358"/>
      <c r="G276" s="358"/>
      <c r="H276" s="358"/>
      <c r="I276" s="358"/>
      <c r="J276" s="358"/>
      <c r="K276" s="358"/>
      <c r="L276" s="358"/>
      <c r="M276" s="358"/>
      <c r="N276" s="358"/>
      <c r="O276" s="358"/>
    </row>
    <row r="277" spans="1:18" s="150" customFormat="1" ht="14.25" hidden="1" customHeight="1">
      <c r="A277" s="358"/>
      <c r="B277" s="358"/>
      <c r="C277" s="358"/>
      <c r="D277" s="358"/>
      <c r="E277" s="358"/>
      <c r="F277" s="358"/>
      <c r="G277" s="358"/>
      <c r="H277" s="358"/>
      <c r="I277" s="358"/>
      <c r="J277" s="358"/>
      <c r="K277" s="358"/>
      <c r="L277" s="358"/>
      <c r="M277" s="358"/>
      <c r="N277" s="358"/>
      <c r="O277" s="358"/>
    </row>
    <row r="278" spans="1:18" s="150" customFormat="1" ht="14.25" hidden="1" customHeight="1">
      <c r="A278" s="358"/>
      <c r="B278" s="358"/>
      <c r="C278" s="358"/>
      <c r="D278" s="358"/>
      <c r="E278" s="358"/>
      <c r="F278" s="358"/>
      <c r="G278" s="358"/>
      <c r="H278" s="358"/>
      <c r="I278" s="358"/>
      <c r="J278" s="358"/>
      <c r="K278" s="358"/>
      <c r="L278" s="358"/>
      <c r="M278" s="358"/>
      <c r="N278" s="358"/>
      <c r="O278" s="358"/>
    </row>
    <row r="279" spans="1:18" s="150" customFormat="1" ht="14.25" hidden="1" customHeight="1">
      <c r="A279" s="358"/>
      <c r="B279" s="358"/>
      <c r="C279" s="358"/>
      <c r="D279" s="358"/>
      <c r="E279" s="358"/>
      <c r="F279" s="358"/>
      <c r="G279" s="358"/>
      <c r="H279" s="358"/>
      <c r="I279" s="358"/>
      <c r="J279" s="358"/>
      <c r="K279" s="358"/>
      <c r="L279" s="358"/>
      <c r="M279" s="358"/>
      <c r="N279" s="423"/>
      <c r="O279" s="423"/>
      <c r="P279" s="291"/>
      <c r="Q279" s="291"/>
      <c r="R279" s="291"/>
    </row>
    <row r="280" spans="1:18" s="150" customFormat="1" ht="14.25" hidden="1" customHeight="1">
      <c r="A280" s="358"/>
      <c r="B280" s="358"/>
      <c r="C280" s="358"/>
      <c r="D280" s="358"/>
      <c r="E280" s="358"/>
      <c r="F280" s="358"/>
      <c r="G280" s="358"/>
      <c r="H280" s="358"/>
      <c r="I280" s="358"/>
      <c r="J280" s="358"/>
      <c r="K280" s="358"/>
      <c r="L280" s="358"/>
      <c r="M280" s="358"/>
      <c r="N280" s="423"/>
      <c r="O280" s="423"/>
      <c r="P280" s="291"/>
      <c r="Q280" s="291"/>
      <c r="R280" s="291"/>
    </row>
    <row r="281" spans="1:18" s="150" customFormat="1" ht="14.25" hidden="1" customHeight="1">
      <c r="A281" s="358"/>
      <c r="B281" s="358"/>
      <c r="C281" s="358"/>
      <c r="D281" s="358"/>
      <c r="E281" s="358"/>
      <c r="F281" s="358"/>
      <c r="G281" s="358"/>
      <c r="H281" s="358"/>
      <c r="I281" s="358"/>
      <c r="J281" s="358"/>
      <c r="K281" s="358"/>
      <c r="L281" s="358"/>
      <c r="M281" s="358"/>
      <c r="N281" s="358"/>
      <c r="O281" s="358"/>
    </row>
    <row r="282" spans="1:18" s="150" customFormat="1" ht="14.25" hidden="1" customHeight="1">
      <c r="A282" s="358"/>
      <c r="B282" s="358"/>
      <c r="C282" s="358"/>
      <c r="D282" s="358"/>
      <c r="E282" s="358"/>
      <c r="F282" s="358"/>
      <c r="G282" s="358"/>
      <c r="H282" s="358"/>
      <c r="I282" s="358"/>
      <c r="J282" s="358"/>
      <c r="K282" s="358"/>
      <c r="L282" s="358"/>
      <c r="M282" s="358"/>
      <c r="N282" s="358"/>
      <c r="O282" s="358"/>
    </row>
    <row r="283" spans="1:18" s="150" customFormat="1" ht="14.25" hidden="1" customHeight="1">
      <c r="A283" s="358"/>
      <c r="B283" s="358"/>
      <c r="C283" s="358"/>
      <c r="D283" s="358"/>
      <c r="E283" s="358"/>
      <c r="F283" s="358"/>
      <c r="G283" s="358"/>
      <c r="H283" s="358"/>
      <c r="I283" s="358"/>
      <c r="J283" s="358"/>
      <c r="K283" s="358"/>
      <c r="L283" s="358"/>
      <c r="M283" s="358"/>
      <c r="N283" s="358"/>
      <c r="O283" s="358"/>
    </row>
    <row r="284" spans="1:18" s="150" customFormat="1" ht="14.25" hidden="1" customHeight="1">
      <c r="A284" s="358"/>
      <c r="B284" s="358"/>
      <c r="C284" s="358"/>
      <c r="D284" s="358"/>
      <c r="E284" s="358"/>
      <c r="F284" s="358"/>
      <c r="G284" s="358"/>
      <c r="H284" s="358"/>
      <c r="I284" s="358"/>
      <c r="J284" s="358"/>
      <c r="K284" s="358"/>
      <c r="L284" s="358"/>
      <c r="M284" s="358"/>
      <c r="N284" s="358"/>
      <c r="O284" s="358"/>
    </row>
    <row r="285" spans="1:18" s="150" customFormat="1" ht="14.25" hidden="1" customHeight="1">
      <c r="A285" s="358"/>
      <c r="B285" s="358"/>
      <c r="C285" s="358"/>
      <c r="D285" s="358"/>
      <c r="E285" s="358"/>
      <c r="F285" s="358"/>
      <c r="G285" s="358"/>
      <c r="H285" s="358"/>
      <c r="I285" s="358"/>
      <c r="J285" s="358"/>
      <c r="K285" s="358"/>
      <c r="L285" s="358"/>
      <c r="M285" s="358"/>
      <c r="N285" s="358"/>
      <c r="O285" s="358"/>
    </row>
    <row r="286" spans="1:18" s="150" customFormat="1" ht="14.25" hidden="1" customHeight="1">
      <c r="A286" s="358"/>
      <c r="B286" s="358"/>
      <c r="C286" s="358"/>
      <c r="D286" s="358"/>
      <c r="E286" s="358"/>
      <c r="F286" s="358"/>
      <c r="G286" s="358"/>
      <c r="H286" s="358"/>
      <c r="I286" s="358"/>
      <c r="J286" s="358"/>
      <c r="K286" s="358"/>
      <c r="L286" s="358"/>
      <c r="M286" s="358"/>
      <c r="N286" s="358"/>
      <c r="O286" s="358"/>
    </row>
    <row r="287" spans="1:18" s="150" customFormat="1" ht="14.25" hidden="1" customHeight="1">
      <c r="A287" s="358"/>
      <c r="B287" s="358"/>
      <c r="C287" s="358"/>
      <c r="D287" s="358"/>
      <c r="E287" s="358"/>
      <c r="F287" s="358"/>
      <c r="G287" s="358"/>
      <c r="H287" s="358"/>
      <c r="I287" s="358"/>
      <c r="J287" s="358"/>
      <c r="K287" s="358"/>
      <c r="L287" s="358"/>
      <c r="M287" s="358"/>
      <c r="N287" s="358"/>
      <c r="O287" s="358"/>
    </row>
    <row r="288" spans="1:18" s="150" customFormat="1" ht="14.25" hidden="1" customHeight="1">
      <c r="A288" s="358"/>
      <c r="B288" s="358"/>
      <c r="C288" s="358"/>
      <c r="D288" s="358"/>
      <c r="E288" s="358"/>
      <c r="F288" s="358"/>
      <c r="G288" s="358"/>
      <c r="H288" s="358"/>
      <c r="I288" s="358"/>
      <c r="J288" s="358"/>
      <c r="K288" s="358"/>
      <c r="L288" s="358"/>
      <c r="M288" s="358"/>
      <c r="N288" s="358"/>
      <c r="O288" s="358"/>
    </row>
    <row r="289" ht="14.25" hidden="1" customHeight="1"/>
    <row r="290" ht="14.25" hidden="1" customHeight="1"/>
    <row r="291" ht="14.25" hidden="1" customHeight="1"/>
    <row r="292" ht="14.25" hidden="1" customHeight="1"/>
    <row r="293" ht="14.25" hidden="1" customHeight="1"/>
    <row r="294" ht="14.25" hidden="1" customHeight="1"/>
    <row r="295" ht="14.25" hidden="1" customHeight="1"/>
    <row r="296" ht="14.25" hidden="1" customHeight="1"/>
    <row r="297" ht="14.25" hidden="1" customHeight="1"/>
    <row r="298" ht="14.25" hidden="1" customHeight="1"/>
    <row r="299" ht="14.25" hidden="1" customHeight="1"/>
    <row r="300" ht="14.25" hidden="1" customHeight="1"/>
    <row r="301" ht="14.25" hidden="1" customHeight="1"/>
    <row r="302" ht="14.25" hidden="1" customHeight="1"/>
    <row r="303" ht="14.25" hidden="1" customHeight="1"/>
    <row r="304" ht="14.25" hidden="1" customHeight="1"/>
    <row r="305" ht="14.25" hidden="1" customHeight="1"/>
    <row r="306" ht="14.25" hidden="1" customHeight="1"/>
    <row r="307" ht="14.25" hidden="1" customHeight="1"/>
    <row r="308" ht="14.25" hidden="1" customHeight="1"/>
    <row r="309" ht="14.25" hidden="1" customHeight="1"/>
    <row r="310" ht="14.25" hidden="1" customHeight="1"/>
    <row r="311" ht="14.25" hidden="1" customHeight="1"/>
    <row r="312" ht="14.25" hidden="1" customHeight="1"/>
    <row r="313" ht="14.25" hidden="1" customHeight="1"/>
    <row r="314" ht="14.25" hidden="1" customHeight="1"/>
    <row r="315" ht="14.25" hidden="1" customHeight="1"/>
    <row r="316" ht="14.25" hidden="1" customHeight="1"/>
    <row r="317" ht="14.25" hidden="1" customHeight="1"/>
    <row r="318" ht="14.25" hidden="1" customHeight="1"/>
    <row r="319" ht="14.25" hidden="1" customHeight="1"/>
    <row r="320" ht="14.25" hidden="1" customHeight="1"/>
    <row r="321" ht="14.25" hidden="1" customHeight="1"/>
    <row r="322" ht="14.25" hidden="1" customHeight="1"/>
    <row r="323" ht="14.25" hidden="1" customHeight="1"/>
    <row r="324" ht="14.25" hidden="1" customHeight="1"/>
    <row r="325" ht="14.25" hidden="1" customHeight="1"/>
    <row r="326" ht="14.25" hidden="1" customHeight="1"/>
    <row r="327" ht="14.25" hidden="1" customHeight="1"/>
    <row r="328" ht="14.25" hidden="1" customHeight="1"/>
    <row r="329" ht="14.25" hidden="1" customHeight="1"/>
    <row r="330" ht="14.25" hidden="1" customHeight="1"/>
    <row r="331" ht="14.25" hidden="1" customHeight="1"/>
    <row r="332" ht="14.25" hidden="1" customHeight="1"/>
    <row r="333" ht="14.25" hidden="1" customHeight="1"/>
    <row r="334" ht="14.25" hidden="1" customHeight="1"/>
    <row r="335" ht="14.25" hidden="1" customHeight="1"/>
    <row r="336" ht="14.25" hidden="1" customHeight="1"/>
    <row r="337" ht="14.25" hidden="1" customHeight="1"/>
    <row r="338" ht="14.25" hidden="1" customHeight="1"/>
    <row r="339" ht="14.25" hidden="1" customHeight="1"/>
    <row r="340" ht="14.25" hidden="1" customHeight="1"/>
    <row r="341" ht="14.25" hidden="1" customHeight="1"/>
    <row r="342" ht="14.25" hidden="1" customHeight="1"/>
    <row r="343" ht="14.25" hidden="1" customHeight="1"/>
    <row r="344" ht="14.25" hidden="1" customHeight="1"/>
    <row r="345" ht="14.25" hidden="1" customHeight="1"/>
    <row r="346" ht="14.25" hidden="1" customHeight="1"/>
    <row r="347" ht="14.25" hidden="1" customHeight="1"/>
    <row r="348" ht="14.25" hidden="1" customHeight="1"/>
    <row r="349" ht="14.25" hidden="1" customHeight="1"/>
    <row r="350" ht="14.25" hidden="1" customHeight="1"/>
    <row r="351" ht="14.25" hidden="1" customHeight="1"/>
    <row r="352" ht="14.25" hidden="1" customHeight="1"/>
    <row r="353" ht="14.25" hidden="1" customHeight="1"/>
    <row r="354" ht="14.25" hidden="1" customHeight="1"/>
    <row r="355" ht="14.25" hidden="1" customHeight="1"/>
    <row r="356" ht="14.25" hidden="1" customHeight="1"/>
    <row r="357" ht="14.25" hidden="1" customHeight="1"/>
    <row r="358" ht="14.25" hidden="1" customHeight="1"/>
    <row r="359" ht="14.25" hidden="1" customHeight="1"/>
    <row r="360" ht="14.25" hidden="1" customHeight="1"/>
    <row r="361" ht="14.25" hidden="1" customHeight="1"/>
    <row r="362" ht="14.25" hidden="1" customHeight="1"/>
    <row r="363" ht="14.25" hidden="1" customHeight="1"/>
    <row r="364" ht="14.25" hidden="1" customHeight="1"/>
    <row r="365" ht="14.25" hidden="1" customHeight="1"/>
    <row r="366" ht="14.25" hidden="1" customHeight="1"/>
    <row r="367" ht="14.25" hidden="1" customHeight="1"/>
    <row r="368" ht="14.25" hidden="1" customHeight="1"/>
    <row r="369" ht="14.25" hidden="1" customHeight="1"/>
    <row r="370" ht="14.25" hidden="1" customHeight="1"/>
    <row r="371" ht="14.25" hidden="1" customHeight="1"/>
    <row r="372" ht="14.25" hidden="1" customHeight="1"/>
    <row r="373" hidden="1"/>
    <row r="374" hidden="1"/>
    <row r="375" hidden="1"/>
    <row r="376" hidden="1"/>
    <row r="377" hidden="1"/>
    <row r="378" hidden="1"/>
    <row r="379" hidden="1"/>
    <row r="380" hidden="1"/>
    <row r="381" hidden="1"/>
    <row r="382" hidden="1"/>
    <row r="383" hidden="1"/>
    <row r="384" hidden="1"/>
    <row r="385" hidden="1"/>
    <row r="386" hidden="1"/>
    <row r="387" hidden="1"/>
    <row r="388" hidden="1"/>
    <row r="389" hidden="1"/>
    <row r="390" hidden="1"/>
    <row r="391" hidden="1"/>
    <row r="392" hidden="1"/>
    <row r="393" hidden="1"/>
    <row r="394" hidden="1"/>
    <row r="395" hidden="1"/>
    <row r="396" hidden="1"/>
    <row r="397" hidden="1"/>
    <row r="398" hidden="1"/>
    <row r="399" hidden="1"/>
    <row r="400" hidden="1"/>
    <row r="401" hidden="1"/>
    <row r="402" hidden="1"/>
    <row r="403" hidden="1"/>
    <row r="404" hidden="1"/>
    <row r="405" hidden="1"/>
    <row r="406" hidden="1"/>
    <row r="407" hidden="1"/>
    <row r="408" hidden="1"/>
    <row r="409" hidden="1"/>
    <row r="410" hidden="1"/>
    <row r="411"/>
    <row r="412"/>
    <row r="413"/>
  </sheetData>
  <sheetProtection password="CAE0" sheet="1" objects="1" scenarios="1" selectLockedCells="1" selectUnlockedCells="1"/>
  <mergeCells count="38">
    <mergeCell ref="I94:J94"/>
    <mergeCell ref="I95:J95"/>
    <mergeCell ref="I96:J96"/>
    <mergeCell ref="C89:D89"/>
    <mergeCell ref="C90:D90"/>
    <mergeCell ref="C91:D91"/>
    <mergeCell ref="C92:D92"/>
    <mergeCell ref="C93:D93"/>
    <mergeCell ref="C94:D94"/>
    <mergeCell ref="C95:D95"/>
    <mergeCell ref="C96:D96"/>
    <mergeCell ref="I89:J89"/>
    <mergeCell ref="I90:J90"/>
    <mergeCell ref="I91:J91"/>
    <mergeCell ref="I92:J92"/>
    <mergeCell ref="I93:J93"/>
    <mergeCell ref="A187:O187"/>
    <mergeCell ref="I169:J169"/>
    <mergeCell ref="I173:K173"/>
    <mergeCell ref="A138:O138"/>
    <mergeCell ref="E160:G160"/>
    <mergeCell ref="I160:K160"/>
    <mergeCell ref="I165:K165"/>
    <mergeCell ref="A147:O147"/>
    <mergeCell ref="F165:H165"/>
    <mergeCell ref="A2:O2"/>
    <mergeCell ref="A3:O3"/>
    <mergeCell ref="B5:N5"/>
    <mergeCell ref="E89:G89"/>
    <mergeCell ref="K86:L86"/>
    <mergeCell ref="K87:M87"/>
    <mergeCell ref="A79:O79"/>
    <mergeCell ref="K83:M83"/>
    <mergeCell ref="K84:M84"/>
    <mergeCell ref="K85:M85"/>
    <mergeCell ref="A60:O60"/>
    <mergeCell ref="C66:H66"/>
    <mergeCell ref="C67:H67"/>
  </mergeCells>
  <phoneticPr fontId="24"/>
  <conditionalFormatting sqref="L166:L172">
    <cfRule type="expression" dxfId="49" priority="3">
      <formula>AND(A166&lt;&gt;"",OR(AND(A166&gt;DATE(2014,3,31),L166="5%仮払消費税"),AND(A166&lt;DATE(2014,4,1),L166="8%仮払消費税")))</formula>
    </cfRule>
  </conditionalFormatting>
  <conditionalFormatting sqref="H90:H96">
    <cfRule type="expression" dxfId="48" priority="26" stopIfTrue="1">
      <formula>IF($R$2=1,0,IF($I90="法休",1))</formula>
    </cfRule>
    <cfRule type="expression" dxfId="47" priority="27" stopIfTrue="1">
      <formula>$S90=1</formula>
    </cfRule>
  </conditionalFormatting>
  <conditionalFormatting sqref="C90:C96">
    <cfRule type="expression" dxfId="46" priority="28" stopIfTrue="1">
      <formula>WEEKDAY($C90)=1</formula>
    </cfRule>
    <cfRule type="expression" dxfId="45" priority="29" stopIfTrue="1">
      <formula>WEEKDAY($C90)=7</formula>
    </cfRule>
  </conditionalFormatting>
  <dataValidations count="9">
    <dataValidation type="date" operator="greaterThanOrEqual" allowBlank="1" showInputMessage="1" showErrorMessage="1" errorTitle="日付入力制限" error="XX/XX/XX (年/月/日)、またはXX/XX (月/日)で入力して下さい。" sqref="E160 I160 B166:B172" xr:uid="{00000000-0002-0000-0000-000000000000}">
      <formula1>39083</formula1>
    </dataValidation>
    <dataValidation type="whole" imeMode="off" allowBlank="1" showInputMessage="1" showErrorMessage="1" sqref="K83" xr:uid="{00000000-0002-0000-0000-000001000000}">
      <formula1>0</formula1>
      <formula2>99999</formula2>
    </dataValidation>
    <dataValidation imeMode="hiragana" allowBlank="1" showInputMessage="1" showErrorMessage="1" sqref="K84:K86" xr:uid="{00000000-0002-0000-0000-000002000000}"/>
    <dataValidation imeMode="off" allowBlank="1" showInputMessage="1" showErrorMessage="1" sqref="K87" xr:uid="{00000000-0002-0000-0000-000003000000}"/>
    <dataValidation imeMode="off" allowBlank="1" showInputMessage="1" showErrorMessage="1" errorTitle="入力エラー" error="選択し～選択して下さい。" sqref="K90:K96" xr:uid="{00000000-0002-0000-0000-000004000000}"/>
    <dataValidation type="time" operator="greaterThanOrEqual" allowBlank="1" showInputMessage="1" showErrorMessage="1" sqref="G90:G96 E90:E96" xr:uid="{00000000-0002-0000-0000-000005000000}">
      <formula1>0</formula1>
    </dataValidation>
    <dataValidation type="list" allowBlank="1" showInputMessage="1" showErrorMessage="1" sqref="H90:H96" xr:uid="{00000000-0002-0000-0000-000006000000}">
      <formula1>"未実施"</formula1>
    </dataValidation>
    <dataValidation type="list" operator="greaterThan" allowBlank="1" showInputMessage="1" showErrorMessage="1" sqref="L172" xr:uid="{00000000-0002-0000-0000-000007000000}">
      <formula1>"非課税,5%仮払消費税,8%仮払消費税,計算対象外"</formula1>
    </dataValidation>
    <dataValidation type="list" operator="greaterThan" allowBlank="1" showInputMessage="1" showErrorMessage="1" sqref="L166:L171" xr:uid="{85EFC813-AD2A-4B64-8F41-3E4EFDB7FEAF}">
      <formula1>"非課税,8%仮払消費税,10%仮払消費税,計算対象外"</formula1>
    </dataValidation>
  </dataValidations>
  <pageMargins left="0.59055118110236227" right="0" top="0.59055118110236227" bottom="0.59055118110236227" header="0.51181102362204722" footer="0.51181102362204722"/>
  <pageSetup paperSize="9" scale="83" orientation="portrait" cellComments="asDisplayed" horizontalDpi="1200" verticalDpi="1200" r:id="rId1"/>
  <headerFooter alignWithMargins="0">
    <oddFooter>&amp;C&amp;P / &amp;N ページ</oddFooter>
  </headerFooter>
  <rowBreaks count="2" manualBreakCount="2">
    <brk id="78" max="16383" man="1"/>
    <brk id="137" max="16383" man="1"/>
  </rowBreaks>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dimension ref="A1:F24"/>
  <sheetViews>
    <sheetView showGridLines="0" showRowColHeaders="0" showOutlineSymbols="0" workbookViewId="0">
      <selection activeCell="D9" sqref="D9:E9"/>
    </sheetView>
  </sheetViews>
  <sheetFormatPr defaultColWidth="0" defaultRowHeight="0" customHeight="1" zeroHeight="1"/>
  <cols>
    <col min="1" max="1" width="5.5" style="149" customWidth="1"/>
    <col min="2" max="2" width="8.625" style="149" hidden="1" customWidth="1"/>
    <col min="3" max="3" width="28.625" style="149" customWidth="1"/>
    <col min="4" max="5" width="19.5" style="149" customWidth="1"/>
    <col min="6" max="6" width="6.875" style="161" customWidth="1"/>
    <col min="7" max="16384" width="6.875" style="161" hidden="1"/>
  </cols>
  <sheetData>
    <row r="1" spans="1:6" ht="13.5">
      <c r="A1" s="158"/>
      <c r="B1" s="158"/>
      <c r="C1" s="158"/>
      <c r="D1" s="159" t="s">
        <v>231</v>
      </c>
      <c r="E1" s="160">
        <v>1</v>
      </c>
      <c r="F1" s="176"/>
    </row>
    <row r="2" spans="1:6" ht="29.25" thickBot="1">
      <c r="A2" s="158"/>
      <c r="B2" s="162"/>
      <c r="C2" s="163"/>
      <c r="D2" s="164"/>
      <c r="E2" s="165"/>
    </row>
    <row r="3" spans="1:6" ht="56.25" thickBot="1">
      <c r="A3" s="158"/>
      <c r="B3" s="158"/>
      <c r="C3" s="673" t="s">
        <v>232</v>
      </c>
      <c r="D3" s="674"/>
      <c r="E3" s="166"/>
    </row>
    <row r="4" spans="1:6" ht="13.5">
      <c r="A4" s="158"/>
      <c r="B4" s="158"/>
      <c r="C4" s="158"/>
      <c r="D4" s="297"/>
      <c r="E4" s="158"/>
    </row>
    <row r="5" spans="1:6" ht="13.5">
      <c r="A5" s="158"/>
      <c r="B5" s="158"/>
      <c r="C5" s="158"/>
      <c r="D5" s="158"/>
      <c r="E5" s="158"/>
    </row>
    <row r="6" spans="1:6" ht="13.5">
      <c r="A6" s="158"/>
      <c r="C6" s="158" t="s">
        <v>184</v>
      </c>
      <c r="D6" s="158"/>
      <c r="E6" s="158"/>
    </row>
    <row r="7" spans="1:6" ht="13.5">
      <c r="C7" s="149" t="s">
        <v>185</v>
      </c>
    </row>
    <row r="8" spans="1:6" ht="14.25" thickBot="1"/>
    <row r="9" spans="1:6" ht="15.75" customHeight="1" thickTop="1">
      <c r="C9" s="167" t="s">
        <v>233</v>
      </c>
      <c r="D9" s="675">
        <v>155</v>
      </c>
      <c r="E9" s="676"/>
    </row>
    <row r="10" spans="1:6" ht="15.75" customHeight="1">
      <c r="C10" s="168" t="s">
        <v>186</v>
      </c>
      <c r="D10" s="677" t="s">
        <v>643</v>
      </c>
      <c r="E10" s="678"/>
    </row>
    <row r="11" spans="1:6" ht="15.75" customHeight="1">
      <c r="C11" s="168" t="s">
        <v>187</v>
      </c>
      <c r="D11" s="677" t="s">
        <v>645</v>
      </c>
      <c r="E11" s="678"/>
    </row>
    <row r="12" spans="1:6" ht="15.75" customHeight="1">
      <c r="C12" s="169" t="s">
        <v>234</v>
      </c>
      <c r="D12" s="677" t="s">
        <v>648</v>
      </c>
      <c r="E12" s="678"/>
    </row>
    <row r="13" spans="1:6" ht="15.75" customHeight="1" thickBot="1">
      <c r="C13" s="170" t="s">
        <v>235</v>
      </c>
      <c r="D13" s="679" t="s">
        <v>647</v>
      </c>
      <c r="E13" s="680"/>
    </row>
    <row r="14" spans="1:6" ht="10.5" customHeight="1" thickTop="1">
      <c r="C14" s="171"/>
      <c r="D14" s="171"/>
    </row>
    <row r="15" spans="1:6" ht="28.5">
      <c r="A15" s="172"/>
      <c r="B15" s="172"/>
      <c r="C15" s="573">
        <f>DATE(2000,E15,1)</f>
        <v>43739</v>
      </c>
      <c r="D15" s="173">
        <v>1997</v>
      </c>
      <c r="E15" s="174">
        <v>238</v>
      </c>
      <c r="F15" s="319">
        <f>DATEDIF(C15,DATE(2000,E15+1,1),"D")</f>
        <v>31</v>
      </c>
    </row>
    <row r="16" spans="1:6" ht="13.5"/>
    <row r="17" spans="3:6" ht="13.5">
      <c r="C17" s="175"/>
      <c r="F17" s="176" t="b">
        <v>1</v>
      </c>
    </row>
    <row r="18" spans="3:6" ht="13.5">
      <c r="C18" s="177"/>
    </row>
    <row r="19" spans="3:6" ht="13.5">
      <c r="C19" s="177"/>
    </row>
    <row r="20" spans="3:6" ht="13.5">
      <c r="C20" s="177"/>
    </row>
    <row r="21" spans="3:6" ht="13.5">
      <c r="C21" s="275"/>
    </row>
    <row r="22" spans="3:6" ht="13.5"/>
    <row r="23" spans="3:6" ht="13.5"/>
    <row r="24" spans="3:6" ht="13.5"/>
  </sheetData>
  <sheetProtection algorithmName="SHA-512" hashValue="RCeL6kvIJrW1Q264xj/3xXAklXTvVfkTOUYWer4qPGBJqTwrFg73j9rhlYSFptb1RMsawd7Rz2TrIc98vQuRsg==" saltValue="coNWXBfjYgz5gBDSMWSd3g==" spinCount="100000" sheet="1" objects="1" scenarios="1"/>
  <mergeCells count="6">
    <mergeCell ref="C3:D3"/>
    <mergeCell ref="D9:E9"/>
    <mergeCell ref="D10:E10"/>
    <mergeCell ref="D11:E11"/>
    <mergeCell ref="D13:E13"/>
    <mergeCell ref="D12:E12"/>
  </mergeCells>
  <phoneticPr fontId="24"/>
  <dataValidations count="4">
    <dataValidation type="whole" imeMode="off" allowBlank="1" showInputMessage="1" showErrorMessage="1" errorTitle="入力桁数制限" error="３桁で入力して下さい。" sqref="D9" xr:uid="{00000000-0002-0000-0100-000000000000}">
      <formula1>100</formula1>
      <formula2>37000</formula2>
    </dataValidation>
    <dataValidation imeMode="hiragana" allowBlank="1" showInputMessage="1" showErrorMessage="1" sqref="D10:D11" xr:uid="{00000000-0002-0000-0100-000001000000}"/>
    <dataValidation type="textLength" imeMode="off" operator="equal" allowBlank="1" showInputMessage="1" showErrorMessage="1" errorTitle="入力桁数制限" error="６桁で入力してください。" sqref="D13" xr:uid="{00000000-0002-0000-0100-000002000000}">
      <formula1>6</formula1>
    </dataValidation>
    <dataValidation type="textLength" imeMode="hiragana" operator="lessThan" allowBlank="1" showInputMessage="1" showErrorMessage="1" errorTitle="文字数入力制限" error="19文字以内で入力して下さい。" sqref="D12" xr:uid="{00000000-0002-0000-0100-000003000000}">
      <formula1>20</formula1>
    </dataValidation>
  </dataValidations>
  <pageMargins left="0.59055118110236227" right="0" top="0.59055118110236227" bottom="0.59055118110236227" header="0.51181102362204722" footer="0.51181102362204722"/>
  <pageSetup paperSize="9" scale="95" orientation="portrait" horizontalDpi="1200" verticalDpi="1200" r:id="rId1"/>
  <headerFooter alignWithMargins="0"/>
  <drawing r:id="rId2"/>
  <legacyDrawing r:id="rId3"/>
  <controls>
    <mc:AlternateContent xmlns:mc="http://schemas.openxmlformats.org/markup-compatibility/2006">
      <mc:Choice Requires="x14">
        <control shapeId="10248" r:id="rId4" name="Label1">
          <controlPr defaultSize="0" autoLine="0" r:id="rId5">
            <anchor moveWithCells="1">
              <from>
                <xdr:col>2</xdr:col>
                <xdr:colOff>0</xdr:colOff>
                <xdr:row>1</xdr:row>
                <xdr:rowOff>352425</xdr:rowOff>
              </from>
              <to>
                <xdr:col>4</xdr:col>
                <xdr:colOff>971550</xdr:colOff>
                <xdr:row>3</xdr:row>
                <xdr:rowOff>9525</xdr:rowOff>
              </to>
            </anchor>
          </controlPr>
        </control>
      </mc:Choice>
      <mc:Fallback>
        <control shapeId="10248" r:id="rId4" name="Label1"/>
      </mc:Fallback>
    </mc:AlternateContent>
    <mc:AlternateContent xmlns:mc="http://schemas.openxmlformats.org/markup-compatibility/2006">
      <mc:Choice Requires="x14">
        <control shapeId="10242" r:id="rId6" name="Spinner 1">
          <controlPr defaultSize="0" print="0" autoFill="0" autoLine="0" autoPict="0">
            <anchor moveWithCells="1" sizeWithCells="1">
              <from>
                <xdr:col>3</xdr:col>
                <xdr:colOff>0</xdr:colOff>
                <xdr:row>14</xdr:row>
                <xdr:rowOff>28575</xdr:rowOff>
              </from>
              <to>
                <xdr:col>3</xdr:col>
                <xdr:colOff>342900</xdr:colOff>
                <xdr:row>15</xdr:row>
                <xdr:rowOff>19050</xdr:rowOff>
              </to>
            </anchor>
          </controlPr>
        </control>
      </mc:Choice>
    </mc:AlternateContent>
    <mc:AlternateContent xmlns:mc="http://schemas.openxmlformats.org/markup-compatibility/2006">
      <mc:Choice Requires="x14">
        <control shapeId="10243" r:id="rId7" name="Button 3">
          <controlPr defaultSize="0" print="0" autoFill="0" autoLine="0" autoPict="0" macro="[0]!この月を新規作成">
            <anchor moveWithCells="1" sizeWithCells="1">
              <from>
                <xdr:col>3</xdr:col>
                <xdr:colOff>733425</xdr:colOff>
                <xdr:row>16</xdr:row>
                <xdr:rowOff>85725</xdr:rowOff>
              </from>
              <to>
                <xdr:col>4</xdr:col>
                <xdr:colOff>895350</xdr:colOff>
                <xdr:row>20</xdr:row>
                <xdr:rowOff>47625</xdr:rowOff>
              </to>
            </anchor>
          </controlPr>
        </control>
      </mc:Choice>
    </mc:AlternateContent>
    <mc:AlternateContent xmlns:mc="http://schemas.openxmlformats.org/markup-compatibility/2006">
      <mc:Choice Requires="x14">
        <control shapeId="10246" r:id="rId8" name="Kintai3">
          <controlPr defaultSize="0" autoFill="0" autoLine="0" autoPict="0" altText="チェック 1">
            <anchor moveWithCells="1">
              <from>
                <xdr:col>2</xdr:col>
                <xdr:colOff>257175</xdr:colOff>
                <xdr:row>18</xdr:row>
                <xdr:rowOff>95250</xdr:rowOff>
              </from>
              <to>
                <xdr:col>2</xdr:col>
                <xdr:colOff>2057400</xdr:colOff>
                <xdr:row>19</xdr:row>
                <xdr:rowOff>133350</xdr:rowOff>
              </to>
            </anchor>
          </controlPr>
        </control>
      </mc:Choice>
    </mc:AlternateContent>
    <mc:AlternateContent xmlns:mc="http://schemas.openxmlformats.org/markup-compatibility/2006">
      <mc:Choice Requires="x14">
        <control shapeId="10247" r:id="rId9" name="Kintai4">
          <controlPr defaultSize="0" autoFill="0" autoLine="0" autoPict="0" altText="チェック 1">
            <anchor moveWithCells="1">
              <from>
                <xdr:col>2</xdr:col>
                <xdr:colOff>257175</xdr:colOff>
                <xdr:row>20</xdr:row>
                <xdr:rowOff>47625</xdr:rowOff>
              </from>
              <to>
                <xdr:col>2</xdr:col>
                <xdr:colOff>2057400</xdr:colOff>
                <xdr:row>21</xdr:row>
                <xdr:rowOff>85725</xdr:rowOff>
              </to>
            </anchor>
          </controlPr>
        </control>
      </mc:Choice>
    </mc:AlternateContent>
    <mc:AlternateContent xmlns:mc="http://schemas.openxmlformats.org/markup-compatibility/2006">
      <mc:Choice Requires="x14">
        <control shapeId="10252" r:id="rId10" name="Check Box 12">
          <controlPr defaultSize="0" autoFill="0" autoLine="0" autoPict="0" altText="チェック 1">
            <anchor moveWithCells="1">
              <from>
                <xdr:col>2</xdr:col>
                <xdr:colOff>257175</xdr:colOff>
                <xdr:row>16</xdr:row>
                <xdr:rowOff>142875</xdr:rowOff>
              </from>
              <to>
                <xdr:col>2</xdr:col>
                <xdr:colOff>2057400</xdr:colOff>
                <xdr:row>18</xdr:row>
                <xdr:rowOff>9525</xdr:rowOff>
              </to>
            </anchor>
          </controlPr>
        </control>
      </mc:Choice>
    </mc:AlternateContent>
    <mc:AlternateContent xmlns:mc="http://schemas.openxmlformats.org/markup-compatibility/2006">
      <mc:Choice Requires="x14">
        <control shapeId="10255" r:id="rId11" name="Button 15">
          <controlPr defaultSize="0" print="0" autoFill="0" autoPict="0" macro="[0]!カレンダー">
            <anchor moveWithCells="1" sizeWithCells="1">
              <from>
                <xdr:col>3</xdr:col>
                <xdr:colOff>733425</xdr:colOff>
                <xdr:row>20</xdr:row>
                <xdr:rowOff>104775</xdr:rowOff>
              </from>
              <to>
                <xdr:col>4</xdr:col>
                <xdr:colOff>895350</xdr:colOff>
                <xdr:row>22</xdr:row>
                <xdr:rowOff>9525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F8E0AA-AD2A-4A44-8410-773A8B66BAAA}">
  <sheetPr codeName="Sheet2"/>
  <dimension ref="A1:DG50"/>
  <sheetViews>
    <sheetView showGridLines="0" showRowColHeaders="0" tabSelected="1" zoomScale="115" zoomScaleNormal="115" workbookViewId="0">
      <pane ySplit="9" topLeftCell="A19" activePane="bottomLeft" state="frozen"/>
      <selection pane="bottomLeft" activeCell="F5" sqref="F5"/>
    </sheetView>
  </sheetViews>
  <sheetFormatPr defaultColWidth="0" defaultRowHeight="13.5"/>
  <cols>
    <col min="1" max="1" width="7.75" bestFit="1" customWidth="1"/>
    <col min="2" max="3" width="9" hidden="1" customWidth="1"/>
    <col min="4" max="4" width="11.875" customWidth="1"/>
    <col min="5" max="5" width="4.375" customWidth="1"/>
    <col min="6" max="6" width="11.875" customWidth="1"/>
    <col min="7" max="7" width="9" customWidth="1"/>
    <col min="8" max="8" width="11.125" customWidth="1"/>
    <col min="9" max="9" width="14.75" customWidth="1"/>
    <col min="10" max="10" width="6.625" hidden="1" customWidth="1"/>
    <col min="11" max="11" width="7.375" hidden="1" customWidth="1"/>
    <col min="12" max="12" width="9.875" customWidth="1"/>
    <col min="13" max="13" width="13.375" customWidth="1"/>
    <col min="14" max="14" width="2.125" hidden="1" customWidth="1"/>
    <col min="15" max="15" width="6.125" hidden="1" customWidth="1"/>
    <col min="16" max="16" width="15.75" hidden="1" customWidth="1"/>
    <col min="17" max="17" width="7.75" hidden="1" customWidth="1"/>
    <col min="18" max="19" width="3.875" hidden="1" customWidth="1"/>
    <col min="20" max="20" width="2.5" style="132" customWidth="1"/>
    <col min="21" max="21" width="6.375" hidden="1" customWidth="1"/>
    <col min="22" max="23" width="8" hidden="1" customWidth="1"/>
    <col min="24" max="24" width="10.25" hidden="1" customWidth="1"/>
    <col min="25" max="65" width="8" hidden="1" customWidth="1"/>
    <col min="66" max="66" width="2.25" hidden="1" customWidth="1"/>
    <col min="67" max="68" width="8" hidden="1" customWidth="1"/>
    <col min="69" max="69" width="2" hidden="1" customWidth="1"/>
    <col min="70" max="72" width="8" hidden="1" customWidth="1"/>
    <col min="73" max="73" width="7.5" hidden="1" customWidth="1"/>
    <col min="74" max="74" width="4.5" hidden="1" customWidth="1"/>
    <col min="75" max="81" width="5.5" hidden="1" customWidth="1"/>
    <col min="82" max="82" width="2.5" hidden="1" customWidth="1"/>
    <col min="83" max="83" width="5.5" hidden="1" customWidth="1"/>
    <col min="84" max="85" width="9.375" hidden="1" customWidth="1"/>
    <col min="86" max="86" width="9.375" style="293" hidden="1" customWidth="1"/>
    <col min="87" max="87" width="9.375" style="25" hidden="1" customWidth="1"/>
    <col min="88" max="88" width="17.5" style="25" hidden="1" customWidth="1"/>
    <col min="89" max="89" width="33.25" style="26" hidden="1" customWidth="1"/>
    <col min="90" max="90" width="9.375" style="28" hidden="1" customWidth="1"/>
    <col min="91" max="91" width="9.375" style="26" hidden="1" customWidth="1"/>
    <col min="92" max="96" width="9.375" style="28" hidden="1" customWidth="1"/>
    <col min="97" max="110" width="9.375" style="27" hidden="1" customWidth="1"/>
    <col min="111" max="16384" width="9" hidden="1"/>
  </cols>
  <sheetData>
    <row r="1" spans="1:111" ht="33" customHeight="1" thickBot="1">
      <c r="A1" s="59"/>
      <c r="B1" s="59"/>
      <c r="C1" s="43"/>
      <c r="D1" s="43"/>
      <c r="E1" s="43"/>
      <c r="F1" s="43"/>
      <c r="G1" s="531" t="s">
        <v>524</v>
      </c>
      <c r="H1" s="531"/>
      <c r="I1" s="531"/>
      <c r="J1" s="531"/>
      <c r="K1" s="531"/>
      <c r="L1" s="531"/>
      <c r="M1" s="531"/>
      <c r="N1" s="531"/>
      <c r="O1" s="531"/>
      <c r="P1" s="60"/>
      <c r="Q1" s="276" t="s">
        <v>132</v>
      </c>
      <c r="R1" s="276"/>
      <c r="V1" s="60"/>
      <c r="X1" s="70" t="s">
        <v>7</v>
      </c>
      <c r="Y1" s="70" t="s">
        <v>11</v>
      </c>
      <c r="Z1" s="71" t="s">
        <v>12</v>
      </c>
      <c r="AA1" s="381" t="s">
        <v>47</v>
      </c>
      <c r="AB1" s="380" t="s">
        <v>48</v>
      </c>
      <c r="AC1" s="380" t="s">
        <v>49</v>
      </c>
      <c r="AD1" s="382" t="s">
        <v>50</v>
      </c>
      <c r="AE1" s="378" t="s">
        <v>51</v>
      </c>
      <c r="AF1" s="72" t="s">
        <v>52</v>
      </c>
      <c r="AG1" s="80"/>
      <c r="AH1" s="464" t="s">
        <v>379</v>
      </c>
      <c r="AI1" s="378" t="s">
        <v>53</v>
      </c>
      <c r="AJ1" s="72" t="s">
        <v>54</v>
      </c>
      <c r="AK1" s="80"/>
      <c r="AL1" s="378" t="s">
        <v>55</v>
      </c>
      <c r="AM1" s="72" t="s">
        <v>56</v>
      </c>
      <c r="AN1" s="80"/>
      <c r="AO1" s="378" t="s">
        <v>57</v>
      </c>
      <c r="AP1" s="72" t="s">
        <v>58</v>
      </c>
      <c r="AQ1" s="80"/>
      <c r="AR1" s="378" t="s">
        <v>59</v>
      </c>
      <c r="AS1" s="72" t="s">
        <v>60</v>
      </c>
      <c r="AT1" s="80"/>
      <c r="AU1" s="378" t="s">
        <v>61</v>
      </c>
      <c r="AV1" s="72" t="s">
        <v>62</v>
      </c>
      <c r="AW1" s="80"/>
      <c r="AX1" s="378" t="s">
        <v>63</v>
      </c>
      <c r="AY1" s="72" t="s">
        <v>64</v>
      </c>
      <c r="AZ1" s="73"/>
      <c r="BA1" s="137" t="s">
        <v>65</v>
      </c>
      <c r="BB1" s="138" t="s">
        <v>66</v>
      </c>
      <c r="BC1" s="137" t="s">
        <v>67</v>
      </c>
      <c r="BD1" s="139" t="s">
        <v>68</v>
      </c>
      <c r="BE1" s="74"/>
      <c r="BF1" s="75"/>
      <c r="BG1" s="75"/>
      <c r="BH1" s="75"/>
      <c r="BI1" s="75"/>
      <c r="BJ1" s="75"/>
      <c r="BK1" s="75"/>
      <c r="BL1" s="75"/>
      <c r="BM1" s="75"/>
      <c r="BN1" s="75"/>
      <c r="BO1" s="75"/>
      <c r="BP1" s="75"/>
      <c r="BQ1" s="75"/>
      <c r="BR1" s="75"/>
      <c r="BS1" s="75"/>
      <c r="BT1" s="74"/>
      <c r="BU1" s="74"/>
      <c r="BV1" s="74"/>
      <c r="BW1" s="74"/>
      <c r="BX1" s="74"/>
      <c r="BY1" s="74"/>
      <c r="BZ1" s="74"/>
      <c r="CA1" s="74"/>
      <c r="CB1" s="74"/>
      <c r="CC1" s="74"/>
      <c r="CD1" s="74"/>
      <c r="CE1" s="74"/>
      <c r="CH1"/>
      <c r="CI1" s="293"/>
      <c r="CK1" s="25"/>
      <c r="CL1" s="26"/>
      <c r="CM1" s="28"/>
      <c r="CN1" s="26"/>
      <c r="CS1" s="28"/>
      <c r="DG1" s="27"/>
    </row>
    <row r="2" spans="1:111" ht="21" customHeight="1" thickBot="1">
      <c r="B2" s="729">
        <v>43739</v>
      </c>
      <c r="C2" s="729"/>
      <c r="D2" s="729"/>
      <c r="E2" s="729"/>
      <c r="F2" s="729"/>
      <c r="M2" s="61"/>
      <c r="N2" s="61"/>
      <c r="O2" s="61"/>
      <c r="P2" s="471" t="s">
        <v>382</v>
      </c>
      <c r="Q2" s="298">
        <v>1</v>
      </c>
      <c r="R2" s="298"/>
      <c r="T2" s="61"/>
      <c r="V2" s="46"/>
      <c r="W2" s="46"/>
      <c r="X2" s="379">
        <v>0.3125</v>
      </c>
      <c r="Y2" s="379">
        <v>6.9444444444444447E-4</v>
      </c>
      <c r="Z2" s="76">
        <v>6.9444444444444447E-4</v>
      </c>
      <c r="AA2" s="78">
        <v>6.9444444444444447E-4</v>
      </c>
      <c r="AB2" s="76">
        <v>0.72916666666666663</v>
      </c>
      <c r="AC2" s="76">
        <v>0.375</v>
      </c>
      <c r="AD2" s="383">
        <v>0.29166666666666669</v>
      </c>
      <c r="AE2" s="379">
        <v>0.5</v>
      </c>
      <c r="AF2" s="78">
        <v>0.54166666666666663</v>
      </c>
      <c r="AG2" s="80"/>
      <c r="AH2" s="383">
        <v>0.79166666666666663</v>
      </c>
      <c r="AI2" s="379">
        <v>0.8125</v>
      </c>
      <c r="AJ2" s="78">
        <v>0.83333333333333337</v>
      </c>
      <c r="AK2" s="80"/>
      <c r="AL2" s="379">
        <v>1</v>
      </c>
      <c r="AM2" s="78">
        <v>1.0416666666666667</v>
      </c>
      <c r="AN2" s="80"/>
      <c r="AO2" s="379">
        <v>1.2083333333333333</v>
      </c>
      <c r="AP2" s="78">
        <v>1.2916666666666667</v>
      </c>
      <c r="AQ2" s="80"/>
      <c r="AR2" s="379"/>
      <c r="AS2" s="78"/>
      <c r="AT2" s="80"/>
      <c r="AU2" s="379"/>
      <c r="AV2" s="78"/>
      <c r="AW2" s="80"/>
      <c r="AX2" s="379"/>
      <c r="AY2" s="78"/>
      <c r="AZ2" s="79"/>
      <c r="BA2" s="134">
        <v>0.25</v>
      </c>
      <c r="BB2" s="135">
        <v>3.125E-2</v>
      </c>
      <c r="BC2" s="134">
        <v>0.33333333333333331</v>
      </c>
      <c r="BD2" s="136">
        <v>4.1666666666666664E-2</v>
      </c>
      <c r="BE2" s="74"/>
      <c r="BF2" s="80"/>
      <c r="BG2" s="80"/>
      <c r="BH2" s="80"/>
      <c r="BI2" s="80"/>
      <c r="BJ2" s="80"/>
      <c r="BK2" s="80"/>
      <c r="BL2" s="80"/>
      <c r="BM2" s="80"/>
      <c r="BN2" s="80"/>
      <c r="BO2" s="80"/>
      <c r="BP2" s="80"/>
      <c r="BQ2" s="80"/>
      <c r="BR2" s="80"/>
      <c r="BS2" s="80"/>
      <c r="BT2" s="74"/>
      <c r="BU2" s="74"/>
      <c r="BV2" s="74"/>
      <c r="BW2" s="74"/>
      <c r="BX2" s="74"/>
      <c r="BY2" s="74"/>
      <c r="BZ2" s="74"/>
      <c r="CA2" s="74"/>
      <c r="CB2" s="74"/>
      <c r="CC2" s="74"/>
      <c r="CD2" s="74"/>
      <c r="CE2" s="74"/>
      <c r="CH2"/>
      <c r="CI2" s="293"/>
      <c r="CK2" s="25"/>
      <c r="CL2" s="26"/>
      <c r="CM2" s="28"/>
      <c r="CN2" s="26"/>
      <c r="CS2" s="28"/>
      <c r="DG2" s="27"/>
    </row>
    <row r="3" spans="1:111" ht="17.25" customHeight="1" thickBot="1">
      <c r="G3" s="532"/>
      <c r="H3" s="533" t="s">
        <v>236</v>
      </c>
      <c r="I3" s="730">
        <v>155</v>
      </c>
      <c r="J3" s="731"/>
      <c r="K3" s="731"/>
      <c r="L3" s="731"/>
      <c r="M3" s="732"/>
      <c r="N3" s="302"/>
      <c r="O3" s="302"/>
      <c r="P3" s="733">
        <f>I3</f>
        <v>155</v>
      </c>
      <c r="Q3" s="733"/>
      <c r="R3" s="733"/>
      <c r="S3" s="734"/>
      <c r="T3" s="61"/>
      <c r="V3" s="62"/>
      <c r="X3" s="81">
        <f t="shared" ref="X3:AF3" si="0">INT(X2*24*60)</f>
        <v>450</v>
      </c>
      <c r="Y3" s="81">
        <f t="shared" si="0"/>
        <v>1</v>
      </c>
      <c r="Z3" s="82">
        <f t="shared" si="0"/>
        <v>1</v>
      </c>
      <c r="AA3" s="84">
        <f t="shared" si="0"/>
        <v>1</v>
      </c>
      <c r="AB3" s="82">
        <f t="shared" si="0"/>
        <v>1050</v>
      </c>
      <c r="AC3" s="82">
        <f t="shared" si="0"/>
        <v>540</v>
      </c>
      <c r="AD3" s="384">
        <f t="shared" si="0"/>
        <v>420</v>
      </c>
      <c r="AE3" s="81">
        <f t="shared" si="0"/>
        <v>720</v>
      </c>
      <c r="AF3" s="84">
        <f t="shared" si="0"/>
        <v>780</v>
      </c>
      <c r="AG3" s="80"/>
      <c r="AH3" s="384">
        <f>INT(IF(AH2=0,AE3+24*60,AH2*24*60))</f>
        <v>1140</v>
      </c>
      <c r="AI3" s="81">
        <f>INT(IF(AI2=0,AC3+24*60,AI2*24*60))</f>
        <v>1170</v>
      </c>
      <c r="AJ3" s="84">
        <f>INT(IF(AJ2=0,AC3+24*60,AJ2*24*60))</f>
        <v>1200</v>
      </c>
      <c r="AK3" s="80"/>
      <c r="AL3" s="81">
        <f>INT(IF(AL2=0,AC3+24*60,AL2*24*60))</f>
        <v>1440</v>
      </c>
      <c r="AM3" s="84">
        <f>INT(IF(AM2=0,AC3+24*60,AM2*24*60))</f>
        <v>1500</v>
      </c>
      <c r="AN3" s="80"/>
      <c r="AO3" s="81">
        <f>INT(IF(AO2=0,AB3+24*60,AO2*24*60))</f>
        <v>1740</v>
      </c>
      <c r="AP3" s="84">
        <f>INT(IF(AP2=0,AC3+24*60,AP2*24*60))</f>
        <v>1860</v>
      </c>
      <c r="AQ3" s="80"/>
      <c r="AR3" s="81">
        <f>INT(IF(AR2=0,AC3+24*60,AR2*24*60))</f>
        <v>1980</v>
      </c>
      <c r="AS3" s="84">
        <f>INT(IF(AS2=0,AC3+24*60,AS2*24*60))</f>
        <v>1980</v>
      </c>
      <c r="AT3" s="80"/>
      <c r="AU3" s="81">
        <f>INT(IF(AU2=0,AC3+24*60,AU2*24*60))</f>
        <v>1980</v>
      </c>
      <c r="AV3" s="84">
        <f>INT(IF(AV2=0,AC3+24*60,AV2*24*60))</f>
        <v>1980</v>
      </c>
      <c r="AW3" s="80"/>
      <c r="AX3" s="81">
        <f>INT(IF(AX2=0,AC3+24*60,AX2*24*60))</f>
        <v>1980</v>
      </c>
      <c r="AY3" s="84">
        <f>INT(IF(AY2=0,AC3+24*60,AY2*24*60))</f>
        <v>1980</v>
      </c>
      <c r="AZ3" s="85"/>
      <c r="BA3" s="86">
        <f>INT(BA2*24*60)</f>
        <v>360</v>
      </c>
      <c r="BB3" s="87">
        <f>INT(BB2*24*60)</f>
        <v>45</v>
      </c>
      <c r="BC3" s="86">
        <f>INT(BC2*24*60)</f>
        <v>480</v>
      </c>
      <c r="BD3" s="88">
        <f>INT(BD2*24*60)</f>
        <v>60</v>
      </c>
      <c r="BE3" s="74"/>
      <c r="BF3" s="80"/>
      <c r="BG3" s="80"/>
      <c r="BH3" s="80"/>
      <c r="BI3" s="80"/>
      <c r="BJ3" s="89"/>
      <c r="BK3" s="80"/>
      <c r="BL3" s="80"/>
      <c r="BM3" s="80"/>
      <c r="BN3" s="80"/>
      <c r="BO3" s="80"/>
      <c r="BP3" s="80"/>
      <c r="BQ3" s="80"/>
      <c r="BR3" s="80"/>
      <c r="BS3" s="80"/>
      <c r="BT3" s="74"/>
      <c r="BU3" s="74"/>
      <c r="BV3" s="74"/>
      <c r="BW3" s="74"/>
      <c r="BX3" s="74"/>
      <c r="BY3" s="74"/>
      <c r="BZ3" s="74"/>
      <c r="CA3" s="74"/>
      <c r="CB3" s="74"/>
      <c r="CC3" s="74"/>
      <c r="CD3" s="74"/>
      <c r="CE3" s="74"/>
      <c r="CH3"/>
      <c r="CI3" s="293"/>
      <c r="CK3" s="25"/>
      <c r="CL3" s="26"/>
      <c r="CM3" s="28"/>
      <c r="CN3" s="26"/>
      <c r="CS3" s="28"/>
      <c r="DG3" s="27"/>
    </row>
    <row r="4" spans="1:111" ht="17.25" customHeight="1">
      <c r="A4" s="62"/>
      <c r="G4" s="532"/>
      <c r="H4" s="534" t="s">
        <v>237</v>
      </c>
      <c r="I4" s="714" t="s">
        <v>642</v>
      </c>
      <c r="J4" s="715"/>
      <c r="K4" s="715"/>
      <c r="L4" s="715"/>
      <c r="M4" s="735"/>
      <c r="N4" s="303"/>
      <c r="O4" s="303"/>
      <c r="P4" s="683" t="str">
        <f>I4</f>
        <v>法人（ＳＬ）５技Ｇ</v>
      </c>
      <c r="Q4" s="683"/>
      <c r="R4" s="683"/>
      <c r="S4" s="684"/>
      <c r="T4" s="61"/>
      <c r="U4" s="45"/>
      <c r="V4" s="62"/>
      <c r="X4" s="90">
        <f>ROUNDUP(X3,0)</f>
        <v>450</v>
      </c>
      <c r="Y4" s="80"/>
      <c r="Z4" s="80"/>
      <c r="AA4" s="80"/>
      <c r="AB4" s="80"/>
      <c r="AC4" s="80"/>
      <c r="AD4" s="85">
        <f>AD3+1440</f>
        <v>1860</v>
      </c>
      <c r="AE4" s="80"/>
      <c r="AF4" s="80"/>
      <c r="AG4" s="80"/>
      <c r="AH4" s="80"/>
      <c r="AI4" s="80"/>
      <c r="AJ4" s="80"/>
      <c r="AK4" s="80"/>
      <c r="AL4" s="80"/>
      <c r="AM4" s="80"/>
      <c r="AN4" s="80"/>
      <c r="AO4" s="80"/>
      <c r="AP4" s="80"/>
      <c r="AQ4" s="80"/>
      <c r="AR4" s="80"/>
      <c r="AS4" s="80"/>
      <c r="AT4" s="80"/>
      <c r="AU4" s="80"/>
      <c r="AV4" s="80"/>
      <c r="AW4" s="80"/>
      <c r="AX4" s="80"/>
      <c r="AY4" s="80"/>
      <c r="AZ4" s="91"/>
      <c r="BA4" s="91"/>
      <c r="BB4" s="80"/>
      <c r="BC4" s="80"/>
      <c r="BD4" s="80"/>
      <c r="BE4" s="80"/>
      <c r="BF4" s="80"/>
      <c r="BG4" s="80"/>
      <c r="BH4" s="80"/>
      <c r="BI4" s="80"/>
      <c r="BJ4" s="80"/>
      <c r="BK4" s="80"/>
      <c r="BL4" s="80"/>
      <c r="BM4" s="80"/>
      <c r="BN4" s="80"/>
      <c r="BO4" s="80"/>
      <c r="BP4" s="80"/>
      <c r="BQ4" s="80"/>
      <c r="BR4" s="80"/>
      <c r="BS4" s="74"/>
      <c r="BT4" s="74"/>
      <c r="BU4" s="74"/>
      <c r="BV4" s="74"/>
      <c r="BW4" s="74"/>
      <c r="BX4" s="74"/>
      <c r="BY4" s="74"/>
      <c r="BZ4" s="74"/>
      <c r="CA4" s="74"/>
      <c r="CB4" s="74"/>
      <c r="CC4" s="74"/>
      <c r="CD4" s="74"/>
      <c r="CE4" s="74"/>
    </row>
    <row r="5" spans="1:111" ht="17.25" customHeight="1">
      <c r="A5" s="62"/>
      <c r="G5" s="532"/>
      <c r="H5" s="534" t="s">
        <v>238</v>
      </c>
      <c r="I5" s="714" t="s">
        <v>644</v>
      </c>
      <c r="J5" s="715"/>
      <c r="K5" s="715"/>
      <c r="L5" s="715"/>
      <c r="M5" s="735"/>
      <c r="N5" s="303"/>
      <c r="O5" s="303"/>
      <c r="P5" s="683" t="str">
        <f>I5</f>
        <v>株式会社アイシーズ</v>
      </c>
      <c r="Q5" s="683"/>
      <c r="R5" s="683"/>
      <c r="S5" s="684"/>
      <c r="T5" s="61"/>
      <c r="U5" s="45"/>
      <c r="V5" s="62"/>
      <c r="Y5" s="74"/>
      <c r="Z5" s="74"/>
      <c r="AA5" s="74"/>
      <c r="AB5" s="80"/>
      <c r="AC5" s="80"/>
      <c r="AD5" s="80"/>
      <c r="AE5" s="80"/>
      <c r="AF5" s="80"/>
      <c r="AG5" s="80"/>
      <c r="AH5" s="80"/>
      <c r="AI5" s="80"/>
      <c r="AJ5" s="80"/>
      <c r="AK5" s="80"/>
      <c r="AL5" s="80"/>
      <c r="AM5" s="80"/>
      <c r="AN5" s="80"/>
      <c r="AO5" s="80"/>
      <c r="AP5" s="80"/>
      <c r="AQ5" s="80"/>
      <c r="AR5" s="80"/>
      <c r="AS5" s="80"/>
      <c r="AT5" s="80"/>
      <c r="AU5" s="80"/>
      <c r="AV5" s="80"/>
      <c r="AW5" s="80"/>
      <c r="AX5" s="80"/>
      <c r="AY5" s="80"/>
      <c r="AZ5" s="91"/>
      <c r="BA5" s="91"/>
      <c r="BB5" s="80"/>
      <c r="BC5" s="80"/>
      <c r="BD5" s="80"/>
      <c r="BE5" s="80"/>
      <c r="BF5" s="80"/>
      <c r="BG5" s="80"/>
      <c r="BH5" s="80"/>
      <c r="BI5" s="80"/>
      <c r="BJ5" s="80"/>
      <c r="BK5" s="80"/>
      <c r="BL5" s="80"/>
      <c r="BM5" s="80"/>
      <c r="BN5" s="80"/>
      <c r="BO5" s="80"/>
      <c r="BP5" s="80"/>
      <c r="BQ5" s="80"/>
      <c r="BR5" s="80"/>
      <c r="BS5" s="74"/>
      <c r="BT5" s="74"/>
      <c r="BU5" s="74"/>
      <c r="BV5" s="74"/>
      <c r="BW5" s="74"/>
      <c r="BX5" s="74"/>
      <c r="BY5" s="74"/>
      <c r="BZ5" s="74"/>
      <c r="CA5" s="74"/>
      <c r="CB5" s="74"/>
      <c r="CC5" s="74"/>
      <c r="CD5" s="74"/>
      <c r="CE5" s="74"/>
    </row>
    <row r="6" spans="1:111" ht="17.25" customHeight="1">
      <c r="A6" s="62"/>
      <c r="G6" s="532"/>
      <c r="H6" s="534" t="s">
        <v>228</v>
      </c>
      <c r="I6" s="714" t="s">
        <v>649</v>
      </c>
      <c r="J6" s="715"/>
      <c r="K6" s="715"/>
      <c r="L6" s="715"/>
      <c r="M6" s="619" t="s">
        <v>247</v>
      </c>
      <c r="N6" s="303"/>
      <c r="O6" s="303"/>
      <c r="P6" s="683" t="str">
        <f>I6</f>
        <v xml:space="preserve">高橋敦 </v>
      </c>
      <c r="Q6" s="683"/>
      <c r="R6" s="683"/>
      <c r="S6" s="305" t="s">
        <v>293</v>
      </c>
      <c r="T6" s="61"/>
      <c r="U6" s="45"/>
      <c r="V6" s="62"/>
      <c r="X6" s="74"/>
      <c r="Y6" s="74"/>
      <c r="Z6" s="74"/>
      <c r="AA6" s="74"/>
      <c r="AB6" s="80"/>
      <c r="AC6" s="80"/>
      <c r="AD6" s="80"/>
      <c r="AE6" s="80"/>
      <c r="AF6" s="80"/>
      <c r="AG6" s="80"/>
      <c r="AH6" s="80"/>
      <c r="AI6" s="80"/>
      <c r="AJ6" s="80"/>
      <c r="AK6" s="80"/>
      <c r="AL6" s="80"/>
      <c r="AM6" s="80"/>
      <c r="AN6" s="80"/>
      <c r="AO6" s="80"/>
      <c r="AP6" s="80"/>
      <c r="AQ6" s="80"/>
      <c r="AR6" s="80"/>
      <c r="AS6" s="80"/>
      <c r="AT6" s="80"/>
      <c r="AU6" s="80"/>
      <c r="AV6" s="80"/>
      <c r="AW6" s="80"/>
      <c r="AX6" s="80"/>
      <c r="AY6" s="80"/>
      <c r="AZ6" s="91"/>
      <c r="BA6" s="91"/>
      <c r="BB6" s="80"/>
      <c r="BC6" s="80"/>
      <c r="BD6" s="80"/>
      <c r="BE6" s="80"/>
      <c r="BF6" s="80"/>
      <c r="BG6" s="80"/>
      <c r="BH6" s="80"/>
      <c r="BI6" s="80"/>
      <c r="BJ6" s="80"/>
      <c r="BK6" s="80"/>
      <c r="BL6" s="80"/>
      <c r="BM6" s="80"/>
      <c r="BN6" s="80"/>
      <c r="BO6" s="80"/>
      <c r="BP6" s="80"/>
      <c r="BQ6" s="80"/>
      <c r="BR6" s="80"/>
      <c r="BS6" s="74"/>
      <c r="BT6" s="74"/>
      <c r="BU6" s="490" t="s">
        <v>432</v>
      </c>
      <c r="BV6" s="74"/>
      <c r="BW6" s="74"/>
      <c r="BX6" s="74"/>
      <c r="BY6" s="74"/>
      <c r="BZ6" s="74"/>
      <c r="CA6" s="74"/>
      <c r="CB6" s="74"/>
      <c r="CC6" s="74"/>
      <c r="CD6" s="74"/>
      <c r="CE6" s="74"/>
    </row>
    <row r="7" spans="1:111" ht="17.25" customHeight="1" thickBot="1">
      <c r="A7" s="306" t="str">
        <f>IF(勤怠タイプNo=1,"","お客様名："&amp;INDEX(CK10:CK28,勤怠タイプNo,1))</f>
        <v/>
      </c>
      <c r="B7" s="306"/>
      <c r="C7" s="306"/>
      <c r="D7" s="306"/>
      <c r="E7" s="306"/>
      <c r="F7" s="306"/>
      <c r="G7" s="532"/>
      <c r="H7" s="535" t="s">
        <v>229</v>
      </c>
      <c r="I7" s="716" t="s">
        <v>646</v>
      </c>
      <c r="J7" s="717"/>
      <c r="K7" s="717"/>
      <c r="L7" s="717"/>
      <c r="M7" s="718"/>
      <c r="N7" s="304"/>
      <c r="O7" s="304"/>
      <c r="P7" s="685" t="str">
        <f>I7</f>
        <v>P0HJ01</v>
      </c>
      <c r="Q7" s="685"/>
      <c r="R7" s="685"/>
      <c r="S7" s="686"/>
      <c r="T7" s="61"/>
      <c r="U7" s="45"/>
      <c r="V7" s="62"/>
      <c r="X7" s="74"/>
      <c r="Y7" s="74"/>
      <c r="Z7" s="74"/>
      <c r="AA7" s="74"/>
      <c r="AB7" s="80"/>
      <c r="AC7" s="80"/>
      <c r="AD7" s="80"/>
      <c r="AE7" s="80"/>
      <c r="AF7" s="80"/>
      <c r="AG7" s="80"/>
      <c r="AH7" s="80"/>
      <c r="AI7" s="80"/>
      <c r="AJ7" s="80"/>
      <c r="AK7" s="80"/>
      <c r="AL7" s="80"/>
      <c r="AM7" s="80"/>
      <c r="AN7" s="80"/>
      <c r="AO7" s="80"/>
      <c r="AP7" s="80"/>
      <c r="AQ7" s="80"/>
      <c r="AR7" s="80"/>
      <c r="AS7" s="80"/>
      <c r="AT7" s="80"/>
      <c r="AU7" s="80"/>
      <c r="AV7" s="80"/>
      <c r="AW7" s="80"/>
      <c r="AX7" s="80"/>
      <c r="AY7" s="80"/>
      <c r="AZ7" s="91"/>
      <c r="BA7" s="91"/>
      <c r="BB7" s="80"/>
      <c r="BC7" s="80"/>
      <c r="BD7" s="80"/>
      <c r="BE7" s="80"/>
      <c r="BF7" s="80"/>
      <c r="BG7" s="80"/>
      <c r="BH7" s="80"/>
      <c r="BI7" s="80"/>
      <c r="BJ7" s="80"/>
      <c r="BK7" s="80"/>
      <c r="BL7" s="80"/>
      <c r="BM7" s="80"/>
      <c r="BN7" s="80"/>
      <c r="BO7" s="80"/>
      <c r="BP7" s="80"/>
      <c r="BQ7" s="80"/>
      <c r="BR7" s="80"/>
      <c r="BS7" s="74"/>
      <c r="BT7" s="74"/>
      <c r="BU7" s="74"/>
      <c r="BV7" s="74"/>
      <c r="BW7" s="74"/>
      <c r="BX7" s="74"/>
      <c r="BY7" s="74"/>
      <c r="BZ7" s="74"/>
      <c r="CA7" s="74"/>
      <c r="CB7" s="74"/>
      <c r="CC7" s="74"/>
      <c r="CD7" s="74"/>
      <c r="CE7" s="74"/>
      <c r="CI7" s="289" t="s">
        <v>526</v>
      </c>
    </row>
    <row r="8" spans="1:111" ht="8.25" customHeight="1" thickTop="1" thickBot="1">
      <c r="A8" s="62"/>
      <c r="F8" s="47"/>
      <c r="G8" s="47"/>
      <c r="H8" s="48"/>
      <c r="I8" s="49"/>
      <c r="J8" s="49"/>
      <c r="K8" s="43"/>
      <c r="L8" s="43"/>
      <c r="M8" s="43"/>
      <c r="N8" s="60"/>
      <c r="O8" s="43"/>
      <c r="P8" s="43"/>
      <c r="Q8" s="43"/>
      <c r="R8" s="43"/>
      <c r="S8" s="44"/>
      <c r="T8" s="61"/>
      <c r="U8" s="45"/>
      <c r="V8" s="62"/>
      <c r="W8" s="62"/>
      <c r="X8" s="92"/>
      <c r="Y8" s="93"/>
      <c r="Z8" s="93"/>
      <c r="AA8" s="93"/>
      <c r="AB8" s="93"/>
      <c r="AC8" s="93"/>
      <c r="AD8" s="93"/>
      <c r="AE8" s="93"/>
      <c r="AF8" s="93"/>
      <c r="AG8" s="93"/>
      <c r="AH8" s="93"/>
      <c r="AI8" s="93"/>
      <c r="AJ8" s="93"/>
      <c r="AK8" s="93"/>
      <c r="AL8" s="93"/>
      <c r="AM8" s="93"/>
      <c r="AN8" s="93"/>
      <c r="AO8" s="93"/>
      <c r="AP8" s="93"/>
      <c r="AQ8" s="93"/>
      <c r="AR8" s="93"/>
      <c r="AS8" s="93"/>
      <c r="AT8" s="93"/>
      <c r="AU8" s="93"/>
      <c r="AV8" s="93"/>
      <c r="AW8" s="93"/>
      <c r="AX8" s="93"/>
      <c r="AY8" s="93"/>
      <c r="AZ8" s="94"/>
      <c r="BA8" s="94"/>
      <c r="BB8" s="94"/>
      <c r="BC8" s="95" t="s">
        <v>69</v>
      </c>
      <c r="BD8" s="96"/>
      <c r="BE8" s="97"/>
      <c r="BF8" s="97"/>
      <c r="BG8" s="95" t="s">
        <v>70</v>
      </c>
      <c r="BH8" s="97"/>
      <c r="BI8" s="98" t="s">
        <v>71</v>
      </c>
      <c r="BJ8" s="97"/>
      <c r="BK8" s="95" t="s">
        <v>527</v>
      </c>
      <c r="BL8" s="97"/>
      <c r="BM8" s="95" t="s">
        <v>528</v>
      </c>
      <c r="BN8" s="96"/>
      <c r="BO8" s="97"/>
      <c r="BP8" s="95" t="s">
        <v>529</v>
      </c>
      <c r="BQ8" s="96"/>
      <c r="BR8" s="96"/>
      <c r="BS8" s="99"/>
      <c r="BT8" s="74"/>
      <c r="BU8" s="277" t="s">
        <v>72</v>
      </c>
      <c r="BV8" s="278" t="s">
        <v>255</v>
      </c>
      <c r="BW8" s="279" t="s">
        <v>73</v>
      </c>
      <c r="BX8" s="278" t="s">
        <v>74</v>
      </c>
      <c r="BY8" s="278" t="s">
        <v>75</v>
      </c>
      <c r="BZ8" s="278" t="s">
        <v>76</v>
      </c>
      <c r="CA8" s="278" t="s">
        <v>77</v>
      </c>
      <c r="CB8" s="280" t="s">
        <v>78</v>
      </c>
      <c r="CC8" s="280" t="s">
        <v>380</v>
      </c>
      <c r="CD8" s="74"/>
      <c r="CE8" s="280" t="s">
        <v>381</v>
      </c>
    </row>
    <row r="9" spans="1:111" ht="24.75" customHeight="1" thickBot="1">
      <c r="A9" s="318" t="s">
        <v>248</v>
      </c>
      <c r="B9" s="315" t="s">
        <v>41</v>
      </c>
      <c r="C9" s="273" t="s">
        <v>531</v>
      </c>
      <c r="D9" s="719" t="s">
        <v>532</v>
      </c>
      <c r="E9" s="720"/>
      <c r="F9" s="720"/>
      <c r="G9" s="570" t="s">
        <v>560</v>
      </c>
      <c r="H9" s="571" t="s">
        <v>292</v>
      </c>
      <c r="I9" s="572" t="s">
        <v>561</v>
      </c>
      <c r="J9" s="629" t="s">
        <v>124</v>
      </c>
      <c r="K9" s="143" t="s">
        <v>44</v>
      </c>
      <c r="L9" s="628" t="s">
        <v>287</v>
      </c>
      <c r="M9" s="568" t="s">
        <v>286</v>
      </c>
      <c r="N9" s="721" t="s">
        <v>45</v>
      </c>
      <c r="O9" s="722"/>
      <c r="P9" s="723" t="s">
        <v>295</v>
      </c>
      <c r="Q9" s="724"/>
      <c r="R9" s="724"/>
      <c r="S9" s="725"/>
      <c r="T9" s="61"/>
      <c r="U9" s="300" t="s">
        <v>46</v>
      </c>
      <c r="V9" s="63" t="s">
        <v>534</v>
      </c>
      <c r="W9" s="62"/>
      <c r="X9" s="100" t="s">
        <v>79</v>
      </c>
      <c r="Y9" s="101" t="s">
        <v>80</v>
      </c>
      <c r="Z9" s="102" t="s">
        <v>81</v>
      </c>
      <c r="AA9" s="102" t="s">
        <v>82</v>
      </c>
      <c r="AB9" s="102" t="s">
        <v>83</v>
      </c>
      <c r="AC9" s="103" t="s">
        <v>84</v>
      </c>
      <c r="AD9" s="104" t="s">
        <v>85</v>
      </c>
      <c r="AE9" s="104" t="s">
        <v>86</v>
      </c>
      <c r="AF9" s="103" t="s">
        <v>87</v>
      </c>
      <c r="AG9" s="104" t="s">
        <v>88</v>
      </c>
      <c r="AH9" s="104" t="s">
        <v>89</v>
      </c>
      <c r="AI9" s="103" t="s">
        <v>90</v>
      </c>
      <c r="AJ9" s="104" t="s">
        <v>91</v>
      </c>
      <c r="AK9" s="104" t="s">
        <v>92</v>
      </c>
      <c r="AL9" s="103" t="s">
        <v>93</v>
      </c>
      <c r="AM9" s="104" t="s">
        <v>94</v>
      </c>
      <c r="AN9" s="104" t="s">
        <v>95</v>
      </c>
      <c r="AO9" s="103" t="s">
        <v>96</v>
      </c>
      <c r="AP9" s="104" t="s">
        <v>97</v>
      </c>
      <c r="AQ9" s="104" t="s">
        <v>98</v>
      </c>
      <c r="AR9" s="103" t="s">
        <v>99</v>
      </c>
      <c r="AS9" s="104" t="s">
        <v>100</v>
      </c>
      <c r="AT9" s="104" t="s">
        <v>101</v>
      </c>
      <c r="AU9" s="103" t="s">
        <v>102</v>
      </c>
      <c r="AV9" s="104" t="s">
        <v>103</v>
      </c>
      <c r="AW9" s="104" t="s">
        <v>104</v>
      </c>
      <c r="AX9" s="103" t="s">
        <v>105</v>
      </c>
      <c r="AY9" s="105" t="s">
        <v>106</v>
      </c>
      <c r="AZ9" s="106" t="s">
        <v>107</v>
      </c>
      <c r="BA9" s="106" t="s">
        <v>108</v>
      </c>
      <c r="BB9" s="106" t="s">
        <v>109</v>
      </c>
      <c r="BC9" s="107" t="s">
        <v>110</v>
      </c>
      <c r="BD9" s="102" t="s">
        <v>111</v>
      </c>
      <c r="BE9" s="108" t="s">
        <v>112</v>
      </c>
      <c r="BF9" s="108" t="s">
        <v>113</v>
      </c>
      <c r="BG9" s="107" t="s">
        <v>114</v>
      </c>
      <c r="BH9" s="108" t="s">
        <v>115</v>
      </c>
      <c r="BI9" s="107" t="s">
        <v>114</v>
      </c>
      <c r="BJ9" s="108" t="s">
        <v>115</v>
      </c>
      <c r="BK9" s="107" t="s">
        <v>114</v>
      </c>
      <c r="BL9" s="108" t="s">
        <v>115</v>
      </c>
      <c r="BM9" s="107" t="s">
        <v>114</v>
      </c>
      <c r="BN9" s="102" t="s">
        <v>113</v>
      </c>
      <c r="BO9" s="108" t="s">
        <v>115</v>
      </c>
      <c r="BP9" s="107" t="s">
        <v>114</v>
      </c>
      <c r="BQ9" s="102" t="s">
        <v>113</v>
      </c>
      <c r="BR9" s="102" t="s">
        <v>116</v>
      </c>
      <c r="BS9" s="109" t="s">
        <v>115</v>
      </c>
      <c r="BT9" s="74"/>
      <c r="BU9" s="465" t="s">
        <v>535</v>
      </c>
      <c r="BV9" s="466" t="s">
        <v>117</v>
      </c>
      <c r="BW9" s="467" t="s">
        <v>117</v>
      </c>
      <c r="BX9" s="466" t="s">
        <v>117</v>
      </c>
      <c r="BY9" s="466" t="s">
        <v>117</v>
      </c>
      <c r="BZ9" s="466" t="s">
        <v>117</v>
      </c>
      <c r="CA9" s="466" t="s">
        <v>117</v>
      </c>
      <c r="CB9" s="468" t="s">
        <v>117</v>
      </c>
      <c r="CC9" s="466" t="s">
        <v>117</v>
      </c>
      <c r="CD9" s="74"/>
      <c r="CE9" s="466" t="s">
        <v>117</v>
      </c>
      <c r="CI9" s="1" t="s">
        <v>536</v>
      </c>
      <c r="CJ9" s="1" t="s">
        <v>132</v>
      </c>
      <c r="CK9" s="2" t="s">
        <v>6</v>
      </c>
      <c r="CL9" s="3" t="s">
        <v>7</v>
      </c>
      <c r="CM9" s="2" t="s">
        <v>8</v>
      </c>
      <c r="CN9" s="4" t="s">
        <v>9</v>
      </c>
      <c r="CO9" s="4" t="s">
        <v>10</v>
      </c>
      <c r="CP9" s="3" t="s">
        <v>11</v>
      </c>
      <c r="CQ9" s="3" t="s">
        <v>12</v>
      </c>
      <c r="CR9" s="3" t="s">
        <v>13</v>
      </c>
      <c r="CS9" s="5" t="s">
        <v>14</v>
      </c>
      <c r="CT9" s="5" t="s">
        <v>15</v>
      </c>
      <c r="CU9" s="5" t="s">
        <v>16</v>
      </c>
      <c r="CV9" s="5" t="s">
        <v>17</v>
      </c>
      <c r="CW9" s="5" t="s">
        <v>18</v>
      </c>
      <c r="CX9" s="5" t="s">
        <v>19</v>
      </c>
      <c r="CY9" s="5" t="s">
        <v>20</v>
      </c>
      <c r="CZ9" s="5" t="s">
        <v>21</v>
      </c>
      <c r="DA9" s="5" t="s">
        <v>22</v>
      </c>
      <c r="DB9" s="5" t="s">
        <v>23</v>
      </c>
      <c r="DC9" s="5" t="s">
        <v>24</v>
      </c>
      <c r="DD9" s="5" t="s">
        <v>25</v>
      </c>
      <c r="DE9" s="5" t="s">
        <v>26</v>
      </c>
      <c r="DF9" s="5" t="s">
        <v>27</v>
      </c>
    </row>
    <row r="10" spans="1:111" ht="18" customHeight="1" thickTop="1">
      <c r="A10" s="487">
        <f>B2</f>
        <v>43739</v>
      </c>
      <c r="B10" s="316">
        <f t="shared" ref="B10:B40" si="1">IF(A10="","",WEEKDAY(A10))</f>
        <v>3</v>
      </c>
      <c r="C10" s="64"/>
      <c r="D10" s="542">
        <v>0.39583333333333331</v>
      </c>
      <c r="E10" s="301" t="s">
        <v>1</v>
      </c>
      <c r="F10" s="545">
        <v>0.75</v>
      </c>
      <c r="G10" s="457"/>
      <c r="H10" s="558"/>
      <c r="I10" s="555"/>
      <c r="J10" s="313">
        <f>IF(A10="","",'&lt;高橋敦&gt;報告. 1910'!BJ10)</f>
        <v>0.3125</v>
      </c>
      <c r="K10" s="51">
        <f>TIME(0,'&lt;高橋敦&gt;報告. 1910'!BC10,0)</f>
        <v>0.3125</v>
      </c>
      <c r="L10" s="548">
        <f>IF(A10="","",'&lt;高橋敦&gt;報告. 1910'!BE10)</f>
        <v>0.3125</v>
      </c>
      <c r="M10" s="551">
        <f>IF(A10="","",'&lt;高橋敦&gt;報告. 1910'!BH10)</f>
        <v>0.3125</v>
      </c>
      <c r="N10" s="311"/>
      <c r="O10" s="52">
        <f>IF(A10="","",'&lt;高橋敦&gt;報告. 1910'!BS10)</f>
        <v>0</v>
      </c>
      <c r="P10" s="726"/>
      <c r="Q10" s="726"/>
      <c r="R10" s="727"/>
      <c r="S10" s="728"/>
      <c r="T10" s="65"/>
      <c r="U10" s="45">
        <f t="shared" ref="U10:U40" si="2">IF(AND(AND(B10&gt;1,B10&lt;7),ISNA(MATCH(A10,休日カレンダ,FALSE))),1,0)</f>
        <v>1</v>
      </c>
      <c r="V10" s="62" t="b">
        <f>AND($H10&gt;0,$BB10=0)</f>
        <v>0</v>
      </c>
      <c r="W10" s="62"/>
      <c r="X10" s="110">
        <f>'&lt;高橋敦&gt;報告. 1910'!A10</f>
        <v>43739</v>
      </c>
      <c r="Y10" s="111">
        <f>INT(IF(ISNUMBER(D10),D10,0)*24*60)</f>
        <v>570</v>
      </c>
      <c r="Z10" s="111">
        <f t="shared" ref="Z10:Z40" si="3">IF(Y10=0,0,IF(Y10&lt;AD$3,AD$3,ROUNDUP(Y10/Y$3,0)*Y$3))</f>
        <v>570</v>
      </c>
      <c r="AA10" s="111">
        <f>INT(IF(ISNUMBER(F10),F10,0)*24*60)</f>
        <v>1080</v>
      </c>
      <c r="AB10" s="77">
        <f t="shared" ref="AB10:AB40" si="4">IF(AA10&gt;AD$4,AD$4,IF(Q$2=1,IF(AND(AA10&gt;$AI$3,AA10&lt;$AJ$3),$AI$3,AA10),INT(AA10/Y$3)*Y$3))</f>
        <v>1080</v>
      </c>
      <c r="AC10" s="112">
        <f t="shared" ref="AC10:AC40" si="5">IF(AA10=0,0,IF(Y10=0,0,IF($AC$3&lt;=$AA10,MAX(AC$3-$Z10,0),MAX($AB10-$Z10,0))))</f>
        <v>0</v>
      </c>
      <c r="AD10" s="111">
        <f t="shared" ref="AD10:AD40" si="6">IF($Y10=0,0,MAX(AC$3,$Z10))</f>
        <v>570</v>
      </c>
      <c r="AE10" s="77">
        <f t="shared" ref="AE10:AE40" si="7">IF($Y10=0,0,MIN(AE$3,$AB10))</f>
        <v>720</v>
      </c>
      <c r="AF10" s="113">
        <f t="shared" ref="AF10:AF40" si="8">MAX(AE10-AD10,0)</f>
        <v>150</v>
      </c>
      <c r="AG10" s="77">
        <f t="shared" ref="AG10:AG40" si="9">IF($Y10=0,0,MAX(AF$3,$Z10))</f>
        <v>780</v>
      </c>
      <c r="AH10" s="77">
        <f>IF($Y10=0,0,IF(CC10=0,MIN(AI$3,$AB10),MIN($AH$3,$AB10)))</f>
        <v>1080</v>
      </c>
      <c r="AI10" s="112">
        <f t="shared" ref="AI10:AI40" si="10">MAX(AH10-AG10,0)</f>
        <v>300</v>
      </c>
      <c r="AJ10" s="77">
        <f t="shared" ref="AJ10:AJ40" si="11">IF($Y10=0,0,MAX(AJ$3,$Z10))</f>
        <v>1200</v>
      </c>
      <c r="AK10" s="77">
        <f t="shared" ref="AK10:AK40" si="12">IF($Y10=0,0,MIN(AL$3,$AB10))</f>
        <v>1080</v>
      </c>
      <c r="AL10" s="112">
        <f t="shared" ref="AL10:AL40" si="13">MAX(AK10-AJ10,0)</f>
        <v>0</v>
      </c>
      <c r="AM10" s="77">
        <f t="shared" ref="AM10:AM40" si="14">IF($Y10=0,0,MAX(AM$3,$Z10))</f>
        <v>1500</v>
      </c>
      <c r="AN10" s="77">
        <f t="shared" ref="AN10:AN40" si="15">IF($Y10=0,0,MIN(AO$3,$AB10))</f>
        <v>1080</v>
      </c>
      <c r="AO10" s="112">
        <f t="shared" ref="AO10:AO40" si="16">MAX(AN10-AM10,0)</f>
        <v>0</v>
      </c>
      <c r="AP10" s="77">
        <f t="shared" ref="AP10:AP40" si="17">IF($Y10=0,0,MAX(AP$3,$Z10))</f>
        <v>1860</v>
      </c>
      <c r="AQ10" s="77">
        <f t="shared" ref="AQ10:AQ40" si="18">IF($Y10=0,0,MIN(AR$3,$AB10))</f>
        <v>1080</v>
      </c>
      <c r="AR10" s="112">
        <f t="shared" ref="AR10:AR40" si="19">MAX(AQ10-AP10,0)</f>
        <v>0</v>
      </c>
      <c r="AS10" s="77">
        <f t="shared" ref="AS10:AS40" si="20">IF($Y10=0,0,MAX(AS$3,$Z10))</f>
        <v>1980</v>
      </c>
      <c r="AT10" s="77">
        <f t="shared" ref="AT10:AT40" si="21">IF($Y10=0,0,MIN(AU$3,$AB10))</f>
        <v>1080</v>
      </c>
      <c r="AU10" s="112">
        <f t="shared" ref="AU10:AU40" si="22">MAX(AT10-AS10,0)</f>
        <v>0</v>
      </c>
      <c r="AV10" s="77">
        <f t="shared" ref="AV10:AV40" si="23">IF($Y10=0,0,MAX(AV$3,$Z10))</f>
        <v>1980</v>
      </c>
      <c r="AW10" s="77">
        <f t="shared" ref="AW10:AW40" si="24">IF($Y10=0,0,MIN(AX$3,$AB10))</f>
        <v>1080</v>
      </c>
      <c r="AX10" s="112">
        <f t="shared" ref="AX10:AX40" si="25">MAX(AW10-AV10,0)</f>
        <v>0</v>
      </c>
      <c r="AY10" s="114">
        <f>IF('&lt;高橋敦&gt;報告. 1910'!G10='&lt;高橋敦&gt;報告. 1910'!$AY$9,'&lt;高橋敦&gt;報告. 1910'!$X$4,0)</f>
        <v>0</v>
      </c>
      <c r="AZ10" s="115">
        <f>IF(ISNUMBER('&lt;高橋敦&gt;報告. 1910'!I10),'&lt;高橋敦&gt;報告. 1910'!I10,0)*24*60</f>
        <v>0</v>
      </c>
      <c r="BA10" s="115">
        <f>'&lt;高橋敦&gt;報告. 1910'!H10*24*60</f>
        <v>0</v>
      </c>
      <c r="BB10" s="115">
        <f t="shared" ref="BB10:BB40" si="26">IF(AND(勤怠タイプNo=1,H10&gt;0,BA10&lt;=BU10,OR(AND(BC10+BA10&gt;法律時間2,BU10-BA10+AZ10&gt;=最低休暇時間2),AND(BC10+BA10&gt;=法律時間1,BC10+BA10&lt;=法律時間2,BU10-BA10+AZ10&gt;=最低休暇時間1),AND(BC10+BA10&lt;=法律時間1))),BA10,0)</f>
        <v>0</v>
      </c>
      <c r="BC10" s="116">
        <f t="shared" ref="BC10:BC40" si="27">AC10+AF10+AI10+AL10+AO10+AR10+AU10+AX10-AZ10</f>
        <v>450</v>
      </c>
      <c r="BD10" s="111">
        <f>IF(G10="",INT(IF(BC10&gt;X$3,X$3+INT((BC10-X$4)/Z$3)*Z$3,BC10))+BB10+AY10,0)</f>
        <v>450</v>
      </c>
      <c r="BE10" s="117">
        <f t="shared" ref="BE10:BE40" si="28">IF(BD10&lt;0,0,TIME(0,BD10,0))</f>
        <v>0.3125</v>
      </c>
      <c r="BF10" s="117">
        <f t="shared" ref="BF10:BF40" si="29">TIME(0,ABS(BD10),0)</f>
        <v>0.3125</v>
      </c>
      <c r="BG10" s="118">
        <f>SUM(BD$10:BD10)</f>
        <v>450</v>
      </c>
      <c r="BH10" s="119">
        <f>BE10</f>
        <v>0.3125</v>
      </c>
      <c r="BI10" s="120">
        <f>IF('&lt;高橋敦&gt;報告. 1910'!U10=1,'&lt;高橋敦&gt;報告. 1910'!$X$4,0)</f>
        <v>450</v>
      </c>
      <c r="BJ10" s="117">
        <f t="shared" ref="BJ10:BJ40" si="30">TIME(0,BI10,0)</f>
        <v>0.3125</v>
      </c>
      <c r="BK10" s="120">
        <f>SUM(BI$10:BI10)</f>
        <v>450</v>
      </c>
      <c r="BL10" s="119">
        <f>BJ10</f>
        <v>0.3125</v>
      </c>
      <c r="BM10" s="120">
        <f t="shared" ref="BM10:BM40" si="31">BD10-BI10</f>
        <v>0</v>
      </c>
      <c r="BN10" s="121" t="str">
        <f t="shared" ref="BN10:BN40" si="32">IF(BM10=0,"",IF(BM10&lt;0,"-",""))</f>
        <v/>
      </c>
      <c r="BO10" s="119">
        <f>BF10-BJ10</f>
        <v>0</v>
      </c>
      <c r="BP10" s="120">
        <f>SUM(BM$10:BM10)</f>
        <v>0</v>
      </c>
      <c r="BQ10" s="121" t="str">
        <f t="shared" ref="BQ10:BQ40" si="33">IF(BP10=0,"",IF(BP10&lt;0,"-",""))</f>
        <v/>
      </c>
      <c r="BR10" s="122">
        <f t="shared" ref="BR10:BR40" si="34">ABS(BP10)</f>
        <v>0</v>
      </c>
      <c r="BS10" s="299">
        <f>IF(SUM($BO$10:BO10)&lt;0,TEXT(ABS(SUM($BO$10:BO10)),"-[h]:mm"),SUM($BO$10:BO10))</f>
        <v>0</v>
      </c>
      <c r="BT10" s="74"/>
      <c r="BU10" s="123">
        <f>SUM(BV10:CC10)</f>
        <v>60</v>
      </c>
      <c r="BV10" s="123">
        <f>IF(AND($AE$2&lt;&gt;0,$AF$2&lt;&gt;0),IF(AND($AA10&gt;$AE$3,$Z10&lt;$AF$3),IF(AND($Z10&lt;=$AE$3),IF($AA10&gt;=$AF$3,$AF$3-$AE$3,$AA10-$AE$3),IF($AA10&gt;=$AF$3,$AF$3-$Z10,$AA10-$Z10)),0),0)</f>
        <v>60</v>
      </c>
      <c r="BW10" s="123">
        <f t="shared" ref="BW10:BW40" si="35">IF(AND($AI$2&lt;&gt;0,$AJ$2&lt;&gt;0),IF(AND($AA10&gt;$AI$3,$Z10&lt;$AJ$3),IF(AND($Z10&lt;=$AI$3),IF($AA10&gt;=$AJ$3,$AJ$3-$AI$3,$AA10-$AI$3),IF($AA10&gt;=$AJ$3,$AJ$3-$Z10,$AA10-$Z10)),0),0)</f>
        <v>0</v>
      </c>
      <c r="BX10" s="123">
        <f t="shared" ref="BX10:BX40" si="36">IF(AND($AL$2&lt;&gt;0,$AM$2&lt;&gt;0),IF(AND($AA10&gt;$AL$3,$Z10&lt;$AM$3),IF(AND($Z10&lt;=$AL$3),IF($AA10&gt;=$AM$3,$AM$3-$AL$3,$AA10-$AL$3),IF($AA10&gt;=$AM$3,$AM$3-$Z10,$AA10-$Z10)),0),0)</f>
        <v>0</v>
      </c>
      <c r="BY10" s="123">
        <f t="shared" ref="BY10:BY40" si="37">IF(AND($AO$2&lt;&gt;0,$AP$2&lt;&gt;0),IF(AND($AA10&gt;$AO$3,$Z10&lt;$AP$3),IF(AND($Z10&lt;=$AO$3),IF($AA10&gt;=$AP$3,$AP$3-$AO$3,$AA10-$AO$3),IF($AA10&gt;=$AP$3,$AP$3-$Z10,$AA10-$Z10)),0),0)</f>
        <v>0</v>
      </c>
      <c r="BZ10" s="123">
        <f t="shared" ref="BZ10:BZ40" si="38">IF(AND($AR$2&lt;&gt;0,$AS$2&lt;&gt;0),IF(AND($AA10&gt;$AR$3,$Z10&lt;$AS$3),IF(AND($Z10&lt;=$AR$3),IF($AA10&gt;=$AS$3,$AS$3-$AR$3,$AA10-$AR$3),IF($AA10&gt;=$AS$3,$AS$3-$Z10,$AA10-$Z10)),0),0)</f>
        <v>0</v>
      </c>
      <c r="CA10" s="123">
        <f t="shared" ref="CA10:CA40" si="39">IF(AND($AU$2&lt;&gt;0,$AV$2&lt;&gt;0),IF(AND($AA10&gt;$AU$3,$Z10&lt;$AV$3),IF(AND($Z10&lt;=$AU$3),IF($AA10&gt;=$AV$3,$AV$3-$AU$3,$AA10-$AU$3),IF($AA10&gt;=$AV$3,$AV$3-$Z10,$AA10-$Z10)),0),0)</f>
        <v>0</v>
      </c>
      <c r="CB10" s="123">
        <f t="shared" ref="CB10:CB40" si="40">IF(AND($AX$2&lt;&gt;0,$AY$2&lt;&gt;0),IF(AND($AA10&gt;$AX$3,$Z10&lt;$AY$3),IF(AND($Z10&lt;=$AX$3),IF($AA10&gt;=$AY$3,$AY$3-$AX$3,$AA10-$AX$3),IF($AA10&gt;=$AY$3,$AY$3-$Z10,$AA10-$Z10)),0),0)</f>
        <v>0</v>
      </c>
      <c r="CC10" s="123">
        <f>IF(AND(Z10&gt;=$AF$3,Z10&lt;=$AH$3,AB10&gt;=$AH$3),30,0)</f>
        <v>0</v>
      </c>
      <c r="CD10" s="74"/>
      <c r="CE10" s="123">
        <f t="shared" ref="CE10:CE40" si="41">IF(AND(BC10+BA10&gt;法律時間2,BU10-BA10+AZ10&gt;=最低休暇時間2),8,IF(AND(BC10+BA10&gt;=法律時間1,BC10+BA10&lt;=法律時間2,BU10-BA10+AZ10&gt;=最低休暇時間1),6,IF(AND(BC10+BA10&lt;法律時間1),0,-1)))</f>
        <v>6</v>
      </c>
      <c r="CH10" s="294" t="s">
        <v>28</v>
      </c>
      <c r="CI10" s="6">
        <v>1</v>
      </c>
      <c r="CJ10" s="7"/>
      <c r="CK10" s="7"/>
      <c r="CL10" s="8">
        <v>0.3125</v>
      </c>
      <c r="CM10" s="8">
        <v>0.29166666666666669</v>
      </c>
      <c r="CN10" s="8">
        <v>0.375</v>
      </c>
      <c r="CO10" s="8">
        <v>0.72916666666666663</v>
      </c>
      <c r="CP10" s="8">
        <v>6.9444444444444441E-3</v>
      </c>
      <c r="CQ10" s="8">
        <v>6.9444444444444441E-3</v>
      </c>
      <c r="CR10" s="8">
        <v>6.9444444444444441E-3</v>
      </c>
      <c r="CS10" s="8">
        <v>0.5</v>
      </c>
      <c r="CT10" s="8">
        <v>0.54166666666666663</v>
      </c>
      <c r="CU10" s="8">
        <v>0.8125</v>
      </c>
      <c r="CV10" s="8">
        <v>0.83333333333333337</v>
      </c>
      <c r="CW10" s="8">
        <v>1</v>
      </c>
      <c r="CX10" s="8">
        <v>1.0416666666666667</v>
      </c>
      <c r="CY10" s="8">
        <v>1.2083333333333333</v>
      </c>
      <c r="CZ10" s="8">
        <v>1.2916666666666667</v>
      </c>
      <c r="DA10" s="8"/>
      <c r="DB10" s="8"/>
      <c r="DC10" s="8"/>
      <c r="DD10" s="8"/>
      <c r="DE10" s="8"/>
      <c r="DF10" s="8"/>
    </row>
    <row r="11" spans="1:111" ht="18" customHeight="1">
      <c r="A11" s="488">
        <f>A10+1</f>
        <v>43740</v>
      </c>
      <c r="B11" s="317">
        <f t="shared" si="1"/>
        <v>4</v>
      </c>
      <c r="C11" s="66"/>
      <c r="D11" s="542">
        <v>0.39583333333333331</v>
      </c>
      <c r="E11" s="301" t="s">
        <v>1</v>
      </c>
      <c r="F11" s="545">
        <v>0.75</v>
      </c>
      <c r="G11" s="456"/>
      <c r="H11" s="558"/>
      <c r="I11" s="556"/>
      <c r="J11" s="314">
        <f>IF(A11="","",'&lt;高橋敦&gt;報告. 1910'!BJ11)</f>
        <v>0.3125</v>
      </c>
      <c r="K11" s="51">
        <f>TIME(0,'&lt;高橋敦&gt;報告. 1910'!BC11,0)</f>
        <v>0.3125</v>
      </c>
      <c r="L11" s="549">
        <f>IF(A11="","",'&lt;高橋敦&gt;報告. 1910'!BE11)</f>
        <v>0.3125</v>
      </c>
      <c r="M11" s="552">
        <f>IF(A11="","",'&lt;高橋敦&gt;報告. 1910'!BH11)</f>
        <v>0.625</v>
      </c>
      <c r="N11" s="312"/>
      <c r="O11" s="55">
        <f>IF(A11="","",'&lt;高橋敦&gt;報告. 1910'!BS11)</f>
        <v>0</v>
      </c>
      <c r="P11" s="708"/>
      <c r="Q11" s="708"/>
      <c r="R11" s="709"/>
      <c r="S11" s="710"/>
      <c r="T11" s="65"/>
      <c r="U11" s="45">
        <f t="shared" si="2"/>
        <v>1</v>
      </c>
      <c r="V11" s="62" t="b">
        <f t="shared" ref="V11:V40" si="42">AND($H11&gt;0,$BB11=0)</f>
        <v>0</v>
      </c>
      <c r="W11" s="62"/>
      <c r="X11" s="110">
        <f>'&lt;高橋敦&gt;報告. 1910'!A11</f>
        <v>43740</v>
      </c>
      <c r="Y11" s="111">
        <f t="shared" ref="Y11:Y40" si="43">INT(IF(ISNUMBER(D11),D11,0)*24*60)</f>
        <v>570</v>
      </c>
      <c r="Z11" s="111">
        <f t="shared" si="3"/>
        <v>570</v>
      </c>
      <c r="AA11" s="111">
        <f t="shared" ref="AA11:AA40" si="44">INT(IF(ISNUMBER(F11),F11,0)*24*60)</f>
        <v>1080</v>
      </c>
      <c r="AB11" s="77">
        <f t="shared" si="4"/>
        <v>1080</v>
      </c>
      <c r="AC11" s="112">
        <f t="shared" si="5"/>
        <v>0</v>
      </c>
      <c r="AD11" s="111">
        <f t="shared" si="6"/>
        <v>570</v>
      </c>
      <c r="AE11" s="77">
        <f t="shared" si="7"/>
        <v>720</v>
      </c>
      <c r="AF11" s="113">
        <f t="shared" si="8"/>
        <v>150</v>
      </c>
      <c r="AG11" s="77">
        <f t="shared" si="9"/>
        <v>780</v>
      </c>
      <c r="AH11" s="77">
        <f t="shared" ref="AH11:AH40" si="45">IF($Y11=0,0,IF(CC11=0,MIN(AI$3,$AB11),MIN($AH$3,$AB11)))</f>
        <v>1080</v>
      </c>
      <c r="AI11" s="112">
        <f>MAX(AH11-AG11,0)</f>
        <v>300</v>
      </c>
      <c r="AJ11" s="77">
        <f t="shared" si="11"/>
        <v>1200</v>
      </c>
      <c r="AK11" s="77">
        <f t="shared" si="12"/>
        <v>1080</v>
      </c>
      <c r="AL11" s="112">
        <f t="shared" si="13"/>
        <v>0</v>
      </c>
      <c r="AM11" s="77">
        <f t="shared" si="14"/>
        <v>1500</v>
      </c>
      <c r="AN11" s="77">
        <f t="shared" si="15"/>
        <v>1080</v>
      </c>
      <c r="AO11" s="112">
        <f t="shared" si="16"/>
        <v>0</v>
      </c>
      <c r="AP11" s="77">
        <f t="shared" si="17"/>
        <v>1860</v>
      </c>
      <c r="AQ11" s="77">
        <f t="shared" si="18"/>
        <v>1080</v>
      </c>
      <c r="AR11" s="112">
        <f t="shared" si="19"/>
        <v>0</v>
      </c>
      <c r="AS11" s="77">
        <f t="shared" si="20"/>
        <v>1980</v>
      </c>
      <c r="AT11" s="77">
        <f t="shared" si="21"/>
        <v>1080</v>
      </c>
      <c r="AU11" s="112">
        <f t="shared" si="22"/>
        <v>0</v>
      </c>
      <c r="AV11" s="77">
        <f t="shared" si="23"/>
        <v>1980</v>
      </c>
      <c r="AW11" s="77">
        <f t="shared" si="24"/>
        <v>1080</v>
      </c>
      <c r="AX11" s="112">
        <f t="shared" si="25"/>
        <v>0</v>
      </c>
      <c r="AY11" s="114">
        <f>IF('&lt;高橋敦&gt;報告. 1910'!G11='&lt;高橋敦&gt;報告. 1910'!$AY$9,'&lt;高橋敦&gt;報告. 1910'!$X$4,0)</f>
        <v>0</v>
      </c>
      <c r="AZ11" s="115">
        <f>IF(ISNUMBER('&lt;高橋敦&gt;報告. 1910'!I11),'&lt;高橋敦&gt;報告. 1910'!I11,0)*24*60</f>
        <v>0</v>
      </c>
      <c r="BA11" s="115">
        <f>'&lt;高橋敦&gt;報告. 1910'!H11*24*60</f>
        <v>0</v>
      </c>
      <c r="BB11" s="115">
        <f t="shared" si="26"/>
        <v>0</v>
      </c>
      <c r="BC11" s="116">
        <f t="shared" si="27"/>
        <v>450</v>
      </c>
      <c r="BD11" s="111">
        <f t="shared" ref="BD11:BD40" si="46">IF(G11="",INT(IF(BC11&gt;X$3,X$3+INT((BC11-X$4)/Z$3)*Z$3,BC11))+BB11+AY11,0)</f>
        <v>450</v>
      </c>
      <c r="BE11" s="117">
        <f t="shared" si="28"/>
        <v>0.3125</v>
      </c>
      <c r="BF11" s="117">
        <f t="shared" si="29"/>
        <v>0.3125</v>
      </c>
      <c r="BG11" s="118">
        <f>SUM(BD$10:BD11)</f>
        <v>900</v>
      </c>
      <c r="BH11" s="119">
        <f>SUM(BE$10:BE11)</f>
        <v>0.625</v>
      </c>
      <c r="BI11" s="120">
        <f>IF('&lt;高橋敦&gt;報告. 1910'!U11=1,'&lt;高橋敦&gt;報告. 1910'!$X$4,0)</f>
        <v>450</v>
      </c>
      <c r="BJ11" s="117">
        <f t="shared" si="30"/>
        <v>0.3125</v>
      </c>
      <c r="BK11" s="120">
        <f>SUM(BI$10:BI11)</f>
        <v>900</v>
      </c>
      <c r="BL11" s="119">
        <f>SUM(BJ$10:BJ11)</f>
        <v>0.625</v>
      </c>
      <c r="BM11" s="120">
        <f t="shared" si="31"/>
        <v>0</v>
      </c>
      <c r="BN11" s="121" t="str">
        <f t="shared" si="32"/>
        <v/>
      </c>
      <c r="BO11" s="119">
        <f t="shared" ref="BO11:BO40" si="47">BF11-BJ11</f>
        <v>0</v>
      </c>
      <c r="BP11" s="120">
        <f>SUM(BM$10:BM11)</f>
        <v>0</v>
      </c>
      <c r="BQ11" s="121" t="str">
        <f t="shared" si="33"/>
        <v/>
      </c>
      <c r="BR11" s="122">
        <f t="shared" si="34"/>
        <v>0</v>
      </c>
      <c r="BS11" s="299">
        <f>IF(SUM($BO$10:BO11)&lt;0,TEXT(ABS(SUM($BO$10:BO11)),"-[h]:mm"),SUM($BO$10:BO11))</f>
        <v>0</v>
      </c>
      <c r="BT11" s="124"/>
      <c r="BU11" s="123">
        <f t="shared" ref="BU11:BU40" si="48">SUM(BV11:CC11)</f>
        <v>60</v>
      </c>
      <c r="BV11" s="123">
        <f>IF(AND($AE$2&lt;&gt;0,$AF$2&lt;&gt;0),IF(AND($AA11&gt;$AE$3,$Z11&lt;$AF$3),IF(AND($Z11&lt;=$AE$3),IF($AA11&gt;=$AF$3,$AF$3-$AE$3,$AA11-$AE$3),IF($AA11&gt;=$AF$3,$AF$3-$Z11,$AA11-$Z11)),0),0)</f>
        <v>60</v>
      </c>
      <c r="BW11" s="123">
        <f t="shared" si="35"/>
        <v>0</v>
      </c>
      <c r="BX11" s="123">
        <f t="shared" si="36"/>
        <v>0</v>
      </c>
      <c r="BY11" s="123">
        <f t="shared" si="37"/>
        <v>0</v>
      </c>
      <c r="BZ11" s="123">
        <f t="shared" si="38"/>
        <v>0</v>
      </c>
      <c r="CA11" s="123">
        <f t="shared" si="39"/>
        <v>0</v>
      </c>
      <c r="CB11" s="123">
        <f t="shared" si="40"/>
        <v>0</v>
      </c>
      <c r="CC11" s="123">
        <f t="shared" ref="CC11:CC40" si="49">IF(AND(Z11&gt;=$AF$3,Z11&lt;=$AH$3,AB11&gt;=$AH$3),30,0)</f>
        <v>0</v>
      </c>
      <c r="CD11" s="74"/>
      <c r="CE11" s="123">
        <f t="shared" si="41"/>
        <v>6</v>
      </c>
      <c r="CH11" s="295" t="s">
        <v>650</v>
      </c>
      <c r="CI11" s="9">
        <v>2</v>
      </c>
      <c r="CJ11" s="9" t="s">
        <v>651</v>
      </c>
      <c r="CK11" s="10" t="s">
        <v>551</v>
      </c>
      <c r="CL11" s="11">
        <v>0.3125</v>
      </c>
      <c r="CM11" s="11">
        <v>0.29166666666666669</v>
      </c>
      <c r="CN11" s="11">
        <v>0.375</v>
      </c>
      <c r="CO11" s="11">
        <v>0.72916666666666663</v>
      </c>
      <c r="CP11" s="11">
        <v>6.9444444444444441E-3</v>
      </c>
      <c r="CQ11" s="11">
        <v>6.9444444444444441E-3</v>
      </c>
      <c r="CR11" s="11">
        <v>6.9444444444444441E-3</v>
      </c>
      <c r="CS11" s="11">
        <v>0.5</v>
      </c>
      <c r="CT11" s="11">
        <v>0.54166666666666663</v>
      </c>
      <c r="CU11" s="11">
        <v>0.8125</v>
      </c>
      <c r="CV11" s="11">
        <v>0.83333333333333337</v>
      </c>
      <c r="CW11" s="11">
        <v>1</v>
      </c>
      <c r="CX11" s="11">
        <v>1.0416666666666667</v>
      </c>
      <c r="CY11" s="11">
        <v>1.2083333333333333</v>
      </c>
      <c r="CZ11" s="11">
        <v>1.2916666666666667</v>
      </c>
      <c r="DA11" s="11"/>
      <c r="DB11" s="11"/>
      <c r="DC11" s="11"/>
      <c r="DD11" s="11"/>
      <c r="DE11" s="11"/>
      <c r="DF11" s="11"/>
    </row>
    <row r="12" spans="1:111" ht="18" customHeight="1">
      <c r="A12" s="488">
        <f t="shared" ref="A12:A34" si="50">A11+1</f>
        <v>43741</v>
      </c>
      <c r="B12" s="317">
        <f t="shared" si="1"/>
        <v>5</v>
      </c>
      <c r="C12" s="66"/>
      <c r="D12" s="542">
        <v>0.52083333333333337</v>
      </c>
      <c r="E12" s="301" t="s">
        <v>1</v>
      </c>
      <c r="F12" s="545">
        <v>0.75</v>
      </c>
      <c r="G12" s="456"/>
      <c r="H12" s="559"/>
      <c r="I12" s="556"/>
      <c r="J12" s="314">
        <f>IF(A12="","",'&lt;高橋敦&gt;報告. 1910'!BJ12)</f>
        <v>0.3125</v>
      </c>
      <c r="K12" s="51">
        <f>TIME(0,'&lt;高橋敦&gt;報告. 1910'!BC12,0)</f>
        <v>0.20833333333333334</v>
      </c>
      <c r="L12" s="549">
        <f>IF(A12="","",'&lt;高橋敦&gt;報告. 1910'!BE12)</f>
        <v>0.20833333333333334</v>
      </c>
      <c r="M12" s="552">
        <f>IF(A12="","",'&lt;高橋敦&gt;報告. 1910'!BH12)</f>
        <v>0.83333333333333337</v>
      </c>
      <c r="N12" s="312"/>
      <c r="O12" s="55" t="str">
        <f>IF(A12="","",'&lt;高橋敦&gt;報告. 1910'!BS12)</f>
        <v>-2:30</v>
      </c>
      <c r="P12" s="708"/>
      <c r="Q12" s="708"/>
      <c r="R12" s="709"/>
      <c r="S12" s="710"/>
      <c r="T12" s="65"/>
      <c r="U12" s="45">
        <f t="shared" si="2"/>
        <v>1</v>
      </c>
      <c r="V12" s="62" t="b">
        <f t="shared" si="42"/>
        <v>0</v>
      </c>
      <c r="W12" s="62"/>
      <c r="X12" s="110">
        <f>'&lt;高橋敦&gt;報告. 1910'!A12</f>
        <v>43741</v>
      </c>
      <c r="Y12" s="111">
        <f t="shared" si="43"/>
        <v>750</v>
      </c>
      <c r="Z12" s="111">
        <f t="shared" si="3"/>
        <v>750</v>
      </c>
      <c r="AA12" s="111">
        <f t="shared" si="44"/>
        <v>1080</v>
      </c>
      <c r="AB12" s="77">
        <f t="shared" si="4"/>
        <v>1080</v>
      </c>
      <c r="AC12" s="112">
        <f t="shared" si="5"/>
        <v>0</v>
      </c>
      <c r="AD12" s="111">
        <f t="shared" si="6"/>
        <v>750</v>
      </c>
      <c r="AE12" s="77">
        <f t="shared" si="7"/>
        <v>720</v>
      </c>
      <c r="AF12" s="113">
        <f t="shared" si="8"/>
        <v>0</v>
      </c>
      <c r="AG12" s="77">
        <f t="shared" si="9"/>
        <v>780</v>
      </c>
      <c r="AH12" s="77">
        <f t="shared" si="45"/>
        <v>1080</v>
      </c>
      <c r="AI12" s="112">
        <f t="shared" si="10"/>
        <v>300</v>
      </c>
      <c r="AJ12" s="77">
        <f t="shared" si="11"/>
        <v>1200</v>
      </c>
      <c r="AK12" s="77">
        <f t="shared" si="12"/>
        <v>1080</v>
      </c>
      <c r="AL12" s="112">
        <f t="shared" si="13"/>
        <v>0</v>
      </c>
      <c r="AM12" s="77">
        <f t="shared" si="14"/>
        <v>1500</v>
      </c>
      <c r="AN12" s="77">
        <f t="shared" si="15"/>
        <v>1080</v>
      </c>
      <c r="AO12" s="112">
        <f t="shared" si="16"/>
        <v>0</v>
      </c>
      <c r="AP12" s="77">
        <f t="shared" si="17"/>
        <v>1860</v>
      </c>
      <c r="AQ12" s="77">
        <f t="shared" si="18"/>
        <v>1080</v>
      </c>
      <c r="AR12" s="112">
        <f t="shared" si="19"/>
        <v>0</v>
      </c>
      <c r="AS12" s="77">
        <f t="shared" si="20"/>
        <v>1980</v>
      </c>
      <c r="AT12" s="77">
        <f t="shared" si="21"/>
        <v>1080</v>
      </c>
      <c r="AU12" s="112">
        <f t="shared" si="22"/>
        <v>0</v>
      </c>
      <c r="AV12" s="77">
        <f t="shared" si="23"/>
        <v>1980</v>
      </c>
      <c r="AW12" s="77">
        <f t="shared" si="24"/>
        <v>1080</v>
      </c>
      <c r="AX12" s="112">
        <f t="shared" si="25"/>
        <v>0</v>
      </c>
      <c r="AY12" s="114">
        <f>IF('&lt;高橋敦&gt;報告. 1910'!G12='&lt;高橋敦&gt;報告. 1910'!$AY$9,'&lt;高橋敦&gt;報告. 1910'!$X$4,0)</f>
        <v>0</v>
      </c>
      <c r="AZ12" s="115">
        <f>IF(ISNUMBER('&lt;高橋敦&gt;報告. 1910'!I12),'&lt;高橋敦&gt;報告. 1910'!I12,0)*24*60</f>
        <v>0</v>
      </c>
      <c r="BA12" s="115">
        <f>'&lt;高橋敦&gt;報告. 1910'!H12*24*60</f>
        <v>0</v>
      </c>
      <c r="BB12" s="115">
        <f t="shared" si="26"/>
        <v>0</v>
      </c>
      <c r="BC12" s="116">
        <f t="shared" si="27"/>
        <v>300</v>
      </c>
      <c r="BD12" s="111">
        <f t="shared" si="46"/>
        <v>300</v>
      </c>
      <c r="BE12" s="117">
        <f t="shared" si="28"/>
        <v>0.20833333333333334</v>
      </c>
      <c r="BF12" s="117">
        <f t="shared" si="29"/>
        <v>0.20833333333333334</v>
      </c>
      <c r="BG12" s="118">
        <f>SUM(BD$10:BD12)</f>
        <v>1200</v>
      </c>
      <c r="BH12" s="119">
        <f>SUM(BE$10:BE12)</f>
        <v>0.83333333333333337</v>
      </c>
      <c r="BI12" s="120">
        <f>IF('&lt;高橋敦&gt;報告. 1910'!U12=1,'&lt;高橋敦&gt;報告. 1910'!$X$4,0)</f>
        <v>450</v>
      </c>
      <c r="BJ12" s="117">
        <f t="shared" si="30"/>
        <v>0.3125</v>
      </c>
      <c r="BK12" s="120">
        <f>SUM(BI$10:BI12)</f>
        <v>1350</v>
      </c>
      <c r="BL12" s="119">
        <f>SUM(BJ$10:BJ12)</f>
        <v>0.9375</v>
      </c>
      <c r="BM12" s="120">
        <f t="shared" si="31"/>
        <v>-150</v>
      </c>
      <c r="BN12" s="121" t="str">
        <f t="shared" si="32"/>
        <v>-</v>
      </c>
      <c r="BO12" s="119">
        <f t="shared" si="47"/>
        <v>-0.10416666666666666</v>
      </c>
      <c r="BP12" s="120">
        <f>SUM(BM$10:BM12)</f>
        <v>-150</v>
      </c>
      <c r="BQ12" s="121" t="str">
        <f t="shared" si="33"/>
        <v>-</v>
      </c>
      <c r="BR12" s="122">
        <f t="shared" si="34"/>
        <v>150</v>
      </c>
      <c r="BS12" s="299" t="str">
        <f>IF(SUM($BO$10:BO12)&lt;0,TEXT(ABS(SUM($BO$10:BO12)),"-[h]:mm"),SUM($BO$10:BO12))</f>
        <v>-2:30</v>
      </c>
      <c r="BT12" s="124"/>
      <c r="BU12" s="123">
        <f t="shared" si="48"/>
        <v>30</v>
      </c>
      <c r="BV12" s="123">
        <f>IF(AND($AE$2&lt;&gt;0,$AF$2&lt;&gt;0),IF(AND($AA12&gt;$AE$3,$Z12&lt;$AF$3),IF(AND($Z12&lt;=$AE$3),IF($AA12&gt;=$AF$3,$AF$3-$AE$3,$AA12-$AE$3),IF($AA12&gt;=$AF$3,$AF$3-$Z12,$AA12-$Z12)),0),0)</f>
        <v>30</v>
      </c>
      <c r="BW12" s="123">
        <f t="shared" si="35"/>
        <v>0</v>
      </c>
      <c r="BX12" s="123">
        <f t="shared" si="36"/>
        <v>0</v>
      </c>
      <c r="BY12" s="123">
        <f t="shared" si="37"/>
        <v>0</v>
      </c>
      <c r="BZ12" s="123">
        <f t="shared" si="38"/>
        <v>0</v>
      </c>
      <c r="CA12" s="123">
        <f t="shared" si="39"/>
        <v>0</v>
      </c>
      <c r="CB12" s="123">
        <f t="shared" si="40"/>
        <v>0</v>
      </c>
      <c r="CC12" s="123">
        <f t="shared" si="49"/>
        <v>0</v>
      </c>
      <c r="CD12" s="74"/>
      <c r="CE12" s="123">
        <f t="shared" si="41"/>
        <v>0</v>
      </c>
      <c r="CH12" s="295" t="s">
        <v>266</v>
      </c>
      <c r="CI12" s="12">
        <v>3</v>
      </c>
      <c r="CJ12" s="12" t="s">
        <v>266</v>
      </c>
      <c r="CK12" s="517" t="s">
        <v>539</v>
      </c>
      <c r="CL12" s="14">
        <v>0.31944444444444448</v>
      </c>
      <c r="CM12" s="14">
        <v>0.29166666666666669</v>
      </c>
      <c r="CN12" s="14">
        <v>0.375</v>
      </c>
      <c r="CO12" s="14">
        <v>0.75</v>
      </c>
      <c r="CP12" s="14">
        <v>2.0833333333333332E-2</v>
      </c>
      <c r="CQ12" s="14">
        <v>2.0833333333333332E-2</v>
      </c>
      <c r="CR12" s="14">
        <v>2.0833333333333332E-2</v>
      </c>
      <c r="CS12" s="14">
        <v>0.5</v>
      </c>
      <c r="CT12" s="14">
        <v>0.54166666666666663</v>
      </c>
      <c r="CU12" s="14"/>
      <c r="CV12" s="14"/>
      <c r="CW12" s="14"/>
      <c r="CX12" s="14"/>
      <c r="CY12" s="14"/>
      <c r="CZ12" s="14"/>
      <c r="DA12" s="14"/>
      <c r="DB12" s="14"/>
      <c r="DC12" s="14"/>
      <c r="DD12" s="14"/>
      <c r="DE12" s="14"/>
      <c r="DF12" s="14"/>
    </row>
    <row r="13" spans="1:111" ht="18" customHeight="1">
      <c r="A13" s="488">
        <f t="shared" si="50"/>
        <v>43742</v>
      </c>
      <c r="B13" s="317">
        <f t="shared" si="1"/>
        <v>6</v>
      </c>
      <c r="C13" s="66"/>
      <c r="D13" s="542">
        <v>0.39583333333333331</v>
      </c>
      <c r="E13" s="301" t="s">
        <v>1</v>
      </c>
      <c r="F13" s="545">
        <v>0.75</v>
      </c>
      <c r="G13" s="456"/>
      <c r="H13" s="559"/>
      <c r="I13" s="556"/>
      <c r="J13" s="314">
        <f>IF(A13="","",'&lt;高橋敦&gt;報告. 1910'!BJ13)</f>
        <v>0.3125</v>
      </c>
      <c r="K13" s="51">
        <f>TIME(0,'&lt;高橋敦&gt;報告. 1910'!BC13,0)</f>
        <v>0.3125</v>
      </c>
      <c r="L13" s="549">
        <f>IF(A13="","",'&lt;高橋敦&gt;報告. 1910'!BE13)</f>
        <v>0.3125</v>
      </c>
      <c r="M13" s="552">
        <f>IF(A13="","",'&lt;高橋敦&gt;報告. 1910'!BH13)</f>
        <v>1.1458333333333335</v>
      </c>
      <c r="N13" s="312"/>
      <c r="O13" s="55" t="str">
        <f>IF(A13="","",'&lt;高橋敦&gt;報告. 1910'!BS13)</f>
        <v>-2:30</v>
      </c>
      <c r="P13" s="708"/>
      <c r="Q13" s="708"/>
      <c r="R13" s="709"/>
      <c r="S13" s="710"/>
      <c r="T13" s="65"/>
      <c r="U13" s="45">
        <f t="shared" si="2"/>
        <v>1</v>
      </c>
      <c r="V13" s="62" t="b">
        <f t="shared" si="42"/>
        <v>0</v>
      </c>
      <c r="W13" s="62"/>
      <c r="X13" s="110">
        <f>'&lt;高橋敦&gt;報告. 1910'!A13</f>
        <v>43742</v>
      </c>
      <c r="Y13" s="111">
        <f t="shared" si="43"/>
        <v>570</v>
      </c>
      <c r="Z13" s="111">
        <f t="shared" si="3"/>
        <v>570</v>
      </c>
      <c r="AA13" s="111">
        <f t="shared" si="44"/>
        <v>1080</v>
      </c>
      <c r="AB13" s="77">
        <f t="shared" si="4"/>
        <v>1080</v>
      </c>
      <c r="AC13" s="112">
        <f t="shared" si="5"/>
        <v>0</v>
      </c>
      <c r="AD13" s="111">
        <f t="shared" si="6"/>
        <v>570</v>
      </c>
      <c r="AE13" s="77">
        <f t="shared" si="7"/>
        <v>720</v>
      </c>
      <c r="AF13" s="113">
        <f t="shared" si="8"/>
        <v>150</v>
      </c>
      <c r="AG13" s="77">
        <f t="shared" si="9"/>
        <v>780</v>
      </c>
      <c r="AH13" s="77">
        <f t="shared" si="45"/>
        <v>1080</v>
      </c>
      <c r="AI13" s="112">
        <f t="shared" si="10"/>
        <v>300</v>
      </c>
      <c r="AJ13" s="77">
        <f t="shared" si="11"/>
        <v>1200</v>
      </c>
      <c r="AK13" s="77">
        <f t="shared" si="12"/>
        <v>1080</v>
      </c>
      <c r="AL13" s="112">
        <f t="shared" si="13"/>
        <v>0</v>
      </c>
      <c r="AM13" s="77">
        <f t="shared" si="14"/>
        <v>1500</v>
      </c>
      <c r="AN13" s="77">
        <f t="shared" si="15"/>
        <v>1080</v>
      </c>
      <c r="AO13" s="112">
        <f t="shared" si="16"/>
        <v>0</v>
      </c>
      <c r="AP13" s="77">
        <f t="shared" si="17"/>
        <v>1860</v>
      </c>
      <c r="AQ13" s="77">
        <f t="shared" si="18"/>
        <v>1080</v>
      </c>
      <c r="AR13" s="112">
        <f t="shared" si="19"/>
        <v>0</v>
      </c>
      <c r="AS13" s="77">
        <f t="shared" si="20"/>
        <v>1980</v>
      </c>
      <c r="AT13" s="77">
        <f t="shared" si="21"/>
        <v>1080</v>
      </c>
      <c r="AU13" s="112">
        <f t="shared" si="22"/>
        <v>0</v>
      </c>
      <c r="AV13" s="77">
        <f t="shared" si="23"/>
        <v>1980</v>
      </c>
      <c r="AW13" s="77">
        <f t="shared" si="24"/>
        <v>1080</v>
      </c>
      <c r="AX13" s="112">
        <f t="shared" si="25"/>
        <v>0</v>
      </c>
      <c r="AY13" s="114">
        <f>IF('&lt;高橋敦&gt;報告. 1910'!G13='&lt;高橋敦&gt;報告. 1910'!$AY$9,'&lt;高橋敦&gt;報告. 1910'!$X$4,0)</f>
        <v>0</v>
      </c>
      <c r="AZ13" s="115">
        <f>IF(ISNUMBER('&lt;高橋敦&gt;報告. 1910'!I13),'&lt;高橋敦&gt;報告. 1910'!I13,0)*24*60</f>
        <v>0</v>
      </c>
      <c r="BA13" s="115">
        <f>'&lt;高橋敦&gt;報告. 1910'!H13*24*60</f>
        <v>0</v>
      </c>
      <c r="BB13" s="115">
        <f t="shared" si="26"/>
        <v>0</v>
      </c>
      <c r="BC13" s="116">
        <f t="shared" si="27"/>
        <v>450</v>
      </c>
      <c r="BD13" s="111">
        <f t="shared" si="46"/>
        <v>450</v>
      </c>
      <c r="BE13" s="117">
        <f t="shared" si="28"/>
        <v>0.3125</v>
      </c>
      <c r="BF13" s="117">
        <f t="shared" si="29"/>
        <v>0.3125</v>
      </c>
      <c r="BG13" s="118">
        <f>SUM(BD$10:BD13)</f>
        <v>1650</v>
      </c>
      <c r="BH13" s="119">
        <f>SUM(BE$10:BE13)</f>
        <v>1.1458333333333335</v>
      </c>
      <c r="BI13" s="120">
        <f>IF('&lt;高橋敦&gt;報告. 1910'!U13=1,'&lt;高橋敦&gt;報告. 1910'!$X$4,0)</f>
        <v>450</v>
      </c>
      <c r="BJ13" s="117">
        <f t="shared" si="30"/>
        <v>0.3125</v>
      </c>
      <c r="BK13" s="120">
        <f>SUM(BI$10:BI13)</f>
        <v>1800</v>
      </c>
      <c r="BL13" s="119">
        <f>SUM(BJ$10:BJ13)</f>
        <v>1.25</v>
      </c>
      <c r="BM13" s="120">
        <f t="shared" si="31"/>
        <v>0</v>
      </c>
      <c r="BN13" s="121" t="str">
        <f t="shared" si="32"/>
        <v/>
      </c>
      <c r="BO13" s="119">
        <f t="shared" si="47"/>
        <v>0</v>
      </c>
      <c r="BP13" s="120">
        <f>SUM(BM$10:BM13)</f>
        <v>-150</v>
      </c>
      <c r="BQ13" s="121" t="str">
        <f t="shared" si="33"/>
        <v>-</v>
      </c>
      <c r="BR13" s="122">
        <f t="shared" si="34"/>
        <v>150</v>
      </c>
      <c r="BS13" s="299" t="str">
        <f>IF(SUM($BO$10:BO13)&lt;0,TEXT(ABS(SUM($BO$10:BO13)),"-[h]:mm"),SUM($BO$10:BO13))</f>
        <v>-2:30</v>
      </c>
      <c r="BT13" s="124"/>
      <c r="BU13" s="123">
        <f t="shared" si="48"/>
        <v>60</v>
      </c>
      <c r="BV13" s="123">
        <f>IF(AND($AE$2&lt;&gt;0,$AF$2&lt;&gt;0),IF(AND($AA13&gt;$AE$3,$Z13&lt;$AF$3),IF(AND($Z13&lt;=$AE$3),IF($AA13&gt;=$AF$3,$AF$3-$AE$3,$AA13-$AE$3),IF($AA13&gt;=$AF$3,$AF$3-$Z13,$AA13-$Z13)),0),0)</f>
        <v>60</v>
      </c>
      <c r="BW13" s="123">
        <f t="shared" si="35"/>
        <v>0</v>
      </c>
      <c r="BX13" s="123">
        <f t="shared" si="36"/>
        <v>0</v>
      </c>
      <c r="BY13" s="123">
        <f t="shared" si="37"/>
        <v>0</v>
      </c>
      <c r="BZ13" s="123">
        <f t="shared" si="38"/>
        <v>0</v>
      </c>
      <c r="CA13" s="123">
        <f t="shared" si="39"/>
        <v>0</v>
      </c>
      <c r="CB13" s="123">
        <f t="shared" si="40"/>
        <v>0</v>
      </c>
      <c r="CC13" s="123">
        <f t="shared" si="49"/>
        <v>0</v>
      </c>
      <c r="CD13" s="74"/>
      <c r="CE13" s="123">
        <f t="shared" si="41"/>
        <v>6</v>
      </c>
      <c r="CH13" s="295" t="s">
        <v>267</v>
      </c>
      <c r="CI13" s="15">
        <v>4</v>
      </c>
      <c r="CJ13" s="15" t="s">
        <v>267</v>
      </c>
      <c r="CK13" s="518" t="s">
        <v>541</v>
      </c>
      <c r="CL13" s="17">
        <v>0.3125</v>
      </c>
      <c r="CM13" s="17">
        <v>0.29166666666666669</v>
      </c>
      <c r="CN13" s="17">
        <v>0.39583333333333331</v>
      </c>
      <c r="CO13" s="17">
        <v>0.75</v>
      </c>
      <c r="CP13" s="17">
        <v>2.0833333333333332E-2</v>
      </c>
      <c r="CQ13" s="17">
        <v>2.0833333333333332E-2</v>
      </c>
      <c r="CR13" s="17">
        <v>2.0833333333333332E-2</v>
      </c>
      <c r="CS13" s="17">
        <v>0.5</v>
      </c>
      <c r="CT13" s="17">
        <v>0.54166666666666663</v>
      </c>
      <c r="CU13" s="17">
        <v>0.75</v>
      </c>
      <c r="CV13" s="17">
        <v>0.77083333333333337</v>
      </c>
      <c r="CW13" s="17">
        <v>0.85416666666666663</v>
      </c>
      <c r="CX13" s="17">
        <v>0.875</v>
      </c>
      <c r="CY13" s="17">
        <v>1</v>
      </c>
      <c r="CZ13" s="17">
        <v>1.0416666666666667</v>
      </c>
      <c r="DA13" s="17">
        <v>1.2083333333333333</v>
      </c>
      <c r="DB13" s="17">
        <v>1.2916666666666667</v>
      </c>
      <c r="DC13" s="17"/>
      <c r="DD13" s="17"/>
      <c r="DE13" s="17"/>
      <c r="DF13" s="17"/>
    </row>
    <row r="14" spans="1:111" ht="18" customHeight="1">
      <c r="A14" s="488">
        <f t="shared" si="50"/>
        <v>43743</v>
      </c>
      <c r="B14" s="317">
        <f t="shared" si="1"/>
        <v>7</v>
      </c>
      <c r="C14" s="66"/>
      <c r="D14" s="542"/>
      <c r="E14" s="301" t="s">
        <v>1</v>
      </c>
      <c r="F14" s="545"/>
      <c r="G14" s="456"/>
      <c r="H14" s="559"/>
      <c r="I14" s="556"/>
      <c r="J14" s="314">
        <f>IF(A14="","",'&lt;高橋敦&gt;報告. 1910'!BJ14)</f>
        <v>0</v>
      </c>
      <c r="K14" s="51">
        <f>TIME(0,'&lt;高橋敦&gt;報告. 1910'!BC14,0)</f>
        <v>0</v>
      </c>
      <c r="L14" s="549">
        <f>IF(A14="","",'&lt;高橋敦&gt;報告. 1910'!BE14)</f>
        <v>0</v>
      </c>
      <c r="M14" s="552">
        <f>IF(A14="","",'&lt;高橋敦&gt;報告. 1910'!BH14)</f>
        <v>1.1458333333333335</v>
      </c>
      <c r="N14" s="312"/>
      <c r="O14" s="55" t="str">
        <f>IF(A14="","",'&lt;高橋敦&gt;報告. 1910'!BS14)</f>
        <v>-2:30</v>
      </c>
      <c r="P14" s="708"/>
      <c r="Q14" s="708"/>
      <c r="R14" s="709"/>
      <c r="S14" s="710"/>
      <c r="T14" s="65"/>
      <c r="U14" s="45">
        <f t="shared" si="2"/>
        <v>0</v>
      </c>
      <c r="V14" s="62" t="b">
        <f t="shared" si="42"/>
        <v>0</v>
      </c>
      <c r="W14" s="62"/>
      <c r="X14" s="110">
        <f>'&lt;高橋敦&gt;報告. 1910'!A14</f>
        <v>43743</v>
      </c>
      <c r="Y14" s="111">
        <f t="shared" si="43"/>
        <v>0</v>
      </c>
      <c r="Z14" s="111">
        <f>IF(Y14=0,0,IF(Y14&lt;AD$3,AD$3,ROUNDUP(Y14/Y$3,0)*Y$3))</f>
        <v>0</v>
      </c>
      <c r="AA14" s="111">
        <f t="shared" si="44"/>
        <v>0</v>
      </c>
      <c r="AB14" s="77">
        <f t="shared" si="4"/>
        <v>0</v>
      </c>
      <c r="AC14" s="112">
        <f t="shared" si="5"/>
        <v>0</v>
      </c>
      <c r="AD14" s="111">
        <f t="shared" si="6"/>
        <v>0</v>
      </c>
      <c r="AE14" s="77">
        <f t="shared" si="7"/>
        <v>0</v>
      </c>
      <c r="AF14" s="113">
        <f t="shared" si="8"/>
        <v>0</v>
      </c>
      <c r="AG14" s="77">
        <f t="shared" si="9"/>
        <v>0</v>
      </c>
      <c r="AH14" s="77">
        <f t="shared" si="45"/>
        <v>0</v>
      </c>
      <c r="AI14" s="112">
        <f t="shared" si="10"/>
        <v>0</v>
      </c>
      <c r="AJ14" s="77">
        <f t="shared" si="11"/>
        <v>0</v>
      </c>
      <c r="AK14" s="77">
        <f t="shared" si="12"/>
        <v>0</v>
      </c>
      <c r="AL14" s="112">
        <f t="shared" si="13"/>
        <v>0</v>
      </c>
      <c r="AM14" s="77">
        <f t="shared" si="14"/>
        <v>0</v>
      </c>
      <c r="AN14" s="77">
        <f t="shared" si="15"/>
        <v>0</v>
      </c>
      <c r="AO14" s="112">
        <f t="shared" si="16"/>
        <v>0</v>
      </c>
      <c r="AP14" s="77">
        <f t="shared" si="17"/>
        <v>0</v>
      </c>
      <c r="AQ14" s="77">
        <f t="shared" si="18"/>
        <v>0</v>
      </c>
      <c r="AR14" s="112">
        <f t="shared" si="19"/>
        <v>0</v>
      </c>
      <c r="AS14" s="77">
        <f t="shared" si="20"/>
        <v>0</v>
      </c>
      <c r="AT14" s="77">
        <f t="shared" si="21"/>
        <v>0</v>
      </c>
      <c r="AU14" s="112">
        <f t="shared" si="22"/>
        <v>0</v>
      </c>
      <c r="AV14" s="77">
        <f t="shared" si="23"/>
        <v>0</v>
      </c>
      <c r="AW14" s="77">
        <f t="shared" si="24"/>
        <v>0</v>
      </c>
      <c r="AX14" s="112">
        <f t="shared" si="25"/>
        <v>0</v>
      </c>
      <c r="AY14" s="114">
        <f>IF('&lt;高橋敦&gt;報告. 1910'!G14='&lt;高橋敦&gt;報告. 1910'!$AY$9,'&lt;高橋敦&gt;報告. 1910'!$X$4,0)</f>
        <v>0</v>
      </c>
      <c r="AZ14" s="115">
        <f>IF(ISNUMBER('&lt;高橋敦&gt;報告. 1910'!I14),'&lt;高橋敦&gt;報告. 1910'!I14,0)*24*60</f>
        <v>0</v>
      </c>
      <c r="BA14" s="115">
        <f>'&lt;高橋敦&gt;報告. 1910'!H14*24*60</f>
        <v>0</v>
      </c>
      <c r="BB14" s="115">
        <f t="shared" si="26"/>
        <v>0</v>
      </c>
      <c r="BC14" s="116">
        <f t="shared" si="27"/>
        <v>0</v>
      </c>
      <c r="BD14" s="111">
        <f t="shared" si="46"/>
        <v>0</v>
      </c>
      <c r="BE14" s="117">
        <f t="shared" si="28"/>
        <v>0</v>
      </c>
      <c r="BF14" s="117">
        <f t="shared" si="29"/>
        <v>0</v>
      </c>
      <c r="BG14" s="118">
        <f>SUM(BD$10:BD14)</f>
        <v>1650</v>
      </c>
      <c r="BH14" s="119">
        <f>SUM(BE$10:BE14)</f>
        <v>1.1458333333333335</v>
      </c>
      <c r="BI14" s="120">
        <f>IF('&lt;高橋敦&gt;報告. 1910'!U14=1,'&lt;高橋敦&gt;報告. 1910'!$X$4,0)</f>
        <v>0</v>
      </c>
      <c r="BJ14" s="117">
        <f t="shared" si="30"/>
        <v>0</v>
      </c>
      <c r="BK14" s="120">
        <f>SUM(BI$10:BI14)</f>
        <v>1800</v>
      </c>
      <c r="BL14" s="119">
        <f>SUM(BJ$10:BJ14)</f>
        <v>1.25</v>
      </c>
      <c r="BM14" s="120">
        <f t="shared" si="31"/>
        <v>0</v>
      </c>
      <c r="BN14" s="121" t="str">
        <f t="shared" si="32"/>
        <v/>
      </c>
      <c r="BO14" s="119">
        <f t="shared" si="47"/>
        <v>0</v>
      </c>
      <c r="BP14" s="120">
        <f>SUM(BM$10:BM14)</f>
        <v>-150</v>
      </c>
      <c r="BQ14" s="121" t="str">
        <f t="shared" si="33"/>
        <v>-</v>
      </c>
      <c r="BR14" s="122">
        <f t="shared" si="34"/>
        <v>150</v>
      </c>
      <c r="BS14" s="299" t="str">
        <f>IF(SUM($BO$10:BO14)&lt;0,TEXT(ABS(SUM($BO$10:BO14)),"-[h]:mm"),SUM($BO$10:BO14))</f>
        <v>-2:30</v>
      </c>
      <c r="BT14" s="124"/>
      <c r="BU14" s="123">
        <f t="shared" si="48"/>
        <v>0</v>
      </c>
      <c r="BV14" s="123">
        <f>IF(AND($AE$2&lt;&gt;0,$AF$2&lt;&gt;0),IF(AND($AA14&gt;$AE$3,$Z14&lt;$AF$3),IF(AND($Z14&lt;=$AE$3),IF($AA14&gt;=$AF$3,$AF$3-$AE$3,$AA14-$AE$3),IF($AA14&gt;=$AF$3,$AF$3-$Z14,$AA14-$Z14)),0),0)</f>
        <v>0</v>
      </c>
      <c r="BW14" s="123">
        <f t="shared" si="35"/>
        <v>0</v>
      </c>
      <c r="BX14" s="123">
        <f t="shared" si="36"/>
        <v>0</v>
      </c>
      <c r="BY14" s="123">
        <f t="shared" si="37"/>
        <v>0</v>
      </c>
      <c r="BZ14" s="123">
        <f t="shared" si="38"/>
        <v>0</v>
      </c>
      <c r="CA14" s="123">
        <f t="shared" si="39"/>
        <v>0</v>
      </c>
      <c r="CB14" s="123">
        <f t="shared" si="40"/>
        <v>0</v>
      </c>
      <c r="CC14" s="123">
        <f t="shared" si="49"/>
        <v>0</v>
      </c>
      <c r="CD14" s="74"/>
      <c r="CE14" s="123">
        <f t="shared" si="41"/>
        <v>0</v>
      </c>
      <c r="CH14" s="295" t="s">
        <v>268</v>
      </c>
      <c r="CI14" s="12">
        <v>5</v>
      </c>
      <c r="CJ14" s="12" t="s">
        <v>268</v>
      </c>
      <c r="CK14" s="517" t="s">
        <v>543</v>
      </c>
      <c r="CL14" s="14">
        <v>0.31944444444444448</v>
      </c>
      <c r="CM14" s="14">
        <v>0.3611111111111111</v>
      </c>
      <c r="CN14" s="14">
        <v>0.3611111111111111</v>
      </c>
      <c r="CO14" s="14">
        <v>0.71527777777777779</v>
      </c>
      <c r="CP14" s="14">
        <v>3.472222222222222E-3</v>
      </c>
      <c r="CQ14" s="14">
        <v>3.472222222222222E-3</v>
      </c>
      <c r="CR14" s="14">
        <v>3.472222222222222E-3</v>
      </c>
      <c r="CS14" s="14">
        <v>0.51041666666666663</v>
      </c>
      <c r="CT14" s="14">
        <v>0.54166666666666663</v>
      </c>
      <c r="CU14" s="14">
        <v>0.71527777777777779</v>
      </c>
      <c r="CV14" s="14">
        <v>0.73958333333333337</v>
      </c>
      <c r="CW14" s="14">
        <v>0.90625</v>
      </c>
      <c r="CX14" s="14">
        <v>0.91666666666666663</v>
      </c>
      <c r="CY14" s="14">
        <v>1.0625</v>
      </c>
      <c r="CZ14" s="14">
        <v>1.1458333333333333</v>
      </c>
      <c r="DA14" s="14">
        <v>1.3125</v>
      </c>
      <c r="DB14" s="14">
        <v>1.3611111111111109</v>
      </c>
      <c r="DC14" s="14"/>
      <c r="DD14" s="14"/>
      <c r="DE14" s="14"/>
      <c r="DF14" s="14"/>
    </row>
    <row r="15" spans="1:111" ht="18" customHeight="1">
      <c r="A15" s="488">
        <f t="shared" si="50"/>
        <v>43744</v>
      </c>
      <c r="B15" s="317">
        <f t="shared" si="1"/>
        <v>1</v>
      </c>
      <c r="C15" s="66"/>
      <c r="D15" s="542"/>
      <c r="E15" s="301" t="s">
        <v>1</v>
      </c>
      <c r="F15" s="545"/>
      <c r="G15" s="456"/>
      <c r="H15" s="559"/>
      <c r="I15" s="556"/>
      <c r="J15" s="314">
        <f>IF(A15="","",'&lt;高橋敦&gt;報告. 1910'!BJ15)</f>
        <v>0</v>
      </c>
      <c r="K15" s="51">
        <f>TIME(0,'&lt;高橋敦&gt;報告. 1910'!BC15,0)</f>
        <v>0</v>
      </c>
      <c r="L15" s="549">
        <f>IF(A15="","",'&lt;高橋敦&gt;報告. 1910'!BE15)</f>
        <v>0</v>
      </c>
      <c r="M15" s="552">
        <f>IF(A15="","",'&lt;高橋敦&gt;報告. 1910'!BH15)</f>
        <v>1.1458333333333335</v>
      </c>
      <c r="N15" s="312"/>
      <c r="O15" s="55" t="str">
        <f>IF(A15="","",'&lt;高橋敦&gt;報告. 1910'!BS15)</f>
        <v>-2:30</v>
      </c>
      <c r="P15" s="708"/>
      <c r="Q15" s="708"/>
      <c r="R15" s="709"/>
      <c r="S15" s="710"/>
      <c r="T15" s="65"/>
      <c r="U15" s="45">
        <f t="shared" si="2"/>
        <v>0</v>
      </c>
      <c r="V15" s="62" t="b">
        <f t="shared" si="42"/>
        <v>0</v>
      </c>
      <c r="W15" s="62"/>
      <c r="X15" s="110">
        <f>'&lt;高橋敦&gt;報告. 1910'!A15</f>
        <v>43744</v>
      </c>
      <c r="Y15" s="111">
        <f t="shared" si="43"/>
        <v>0</v>
      </c>
      <c r="Z15" s="111">
        <f t="shared" si="3"/>
        <v>0</v>
      </c>
      <c r="AA15" s="111">
        <f t="shared" si="44"/>
        <v>0</v>
      </c>
      <c r="AB15" s="77">
        <f t="shared" si="4"/>
        <v>0</v>
      </c>
      <c r="AC15" s="112">
        <f t="shared" si="5"/>
        <v>0</v>
      </c>
      <c r="AD15" s="111">
        <f t="shared" si="6"/>
        <v>0</v>
      </c>
      <c r="AE15" s="77">
        <f t="shared" si="7"/>
        <v>0</v>
      </c>
      <c r="AF15" s="113">
        <f t="shared" si="8"/>
        <v>0</v>
      </c>
      <c r="AG15" s="77">
        <f t="shared" si="9"/>
        <v>0</v>
      </c>
      <c r="AH15" s="77">
        <f t="shared" si="45"/>
        <v>0</v>
      </c>
      <c r="AI15" s="112">
        <f t="shared" si="10"/>
        <v>0</v>
      </c>
      <c r="AJ15" s="77">
        <f t="shared" si="11"/>
        <v>0</v>
      </c>
      <c r="AK15" s="77">
        <f t="shared" si="12"/>
        <v>0</v>
      </c>
      <c r="AL15" s="112">
        <f t="shared" si="13"/>
        <v>0</v>
      </c>
      <c r="AM15" s="77">
        <f t="shared" si="14"/>
        <v>0</v>
      </c>
      <c r="AN15" s="77">
        <f t="shared" si="15"/>
        <v>0</v>
      </c>
      <c r="AO15" s="112">
        <f t="shared" si="16"/>
        <v>0</v>
      </c>
      <c r="AP15" s="77">
        <f t="shared" si="17"/>
        <v>0</v>
      </c>
      <c r="AQ15" s="77">
        <f t="shared" si="18"/>
        <v>0</v>
      </c>
      <c r="AR15" s="112">
        <f t="shared" si="19"/>
        <v>0</v>
      </c>
      <c r="AS15" s="77">
        <f t="shared" si="20"/>
        <v>0</v>
      </c>
      <c r="AT15" s="77">
        <f t="shared" si="21"/>
        <v>0</v>
      </c>
      <c r="AU15" s="112">
        <f t="shared" si="22"/>
        <v>0</v>
      </c>
      <c r="AV15" s="77">
        <f t="shared" si="23"/>
        <v>0</v>
      </c>
      <c r="AW15" s="77">
        <f t="shared" si="24"/>
        <v>0</v>
      </c>
      <c r="AX15" s="112">
        <f t="shared" si="25"/>
        <v>0</v>
      </c>
      <c r="AY15" s="114">
        <f>IF('&lt;高橋敦&gt;報告. 1910'!G15='&lt;高橋敦&gt;報告. 1910'!$AY$9,'&lt;高橋敦&gt;報告. 1910'!$X$4,0)</f>
        <v>0</v>
      </c>
      <c r="AZ15" s="115">
        <f>IF(ISNUMBER('&lt;高橋敦&gt;報告. 1910'!I15),'&lt;高橋敦&gt;報告. 1910'!I15,0)*24*60</f>
        <v>0</v>
      </c>
      <c r="BA15" s="115">
        <f>'&lt;高橋敦&gt;報告. 1910'!H15*24*60</f>
        <v>0</v>
      </c>
      <c r="BB15" s="115">
        <f t="shared" si="26"/>
        <v>0</v>
      </c>
      <c r="BC15" s="116">
        <f t="shared" si="27"/>
        <v>0</v>
      </c>
      <c r="BD15" s="111">
        <f t="shared" si="46"/>
        <v>0</v>
      </c>
      <c r="BE15" s="117">
        <f t="shared" si="28"/>
        <v>0</v>
      </c>
      <c r="BF15" s="117">
        <f t="shared" si="29"/>
        <v>0</v>
      </c>
      <c r="BG15" s="118">
        <f>SUM(BD$10:BD15)</f>
        <v>1650</v>
      </c>
      <c r="BH15" s="119">
        <f>SUM(BE$10:BE15)</f>
        <v>1.1458333333333335</v>
      </c>
      <c r="BI15" s="120">
        <f>IF('&lt;高橋敦&gt;報告. 1910'!U15=1,'&lt;高橋敦&gt;報告. 1910'!$X$4,0)</f>
        <v>0</v>
      </c>
      <c r="BJ15" s="117">
        <f t="shared" si="30"/>
        <v>0</v>
      </c>
      <c r="BK15" s="120">
        <f>SUM(BI$10:BI15)</f>
        <v>1800</v>
      </c>
      <c r="BL15" s="119">
        <f>SUM(BJ$10:BJ15)</f>
        <v>1.25</v>
      </c>
      <c r="BM15" s="120">
        <f t="shared" si="31"/>
        <v>0</v>
      </c>
      <c r="BN15" s="121" t="str">
        <f t="shared" si="32"/>
        <v/>
      </c>
      <c r="BO15" s="119">
        <f t="shared" si="47"/>
        <v>0</v>
      </c>
      <c r="BP15" s="120">
        <f>SUM(BM$10:BM15)</f>
        <v>-150</v>
      </c>
      <c r="BQ15" s="121" t="str">
        <f t="shared" si="33"/>
        <v>-</v>
      </c>
      <c r="BR15" s="122">
        <f t="shared" si="34"/>
        <v>150</v>
      </c>
      <c r="BS15" s="299" t="str">
        <f>IF(SUM($BO$10:BO15)&lt;0,TEXT(ABS(SUM($BO$10:BO15)),"-[h]:mm"),SUM($BO$10:BO15))</f>
        <v>-2:30</v>
      </c>
      <c r="BT15" s="124"/>
      <c r="BU15" s="123">
        <f t="shared" si="48"/>
        <v>0</v>
      </c>
      <c r="BV15" s="123">
        <f t="shared" ref="BV15:BV40" si="51">IF(AND($AE$2&lt;&gt;0,$AF$2&lt;&gt;0),IF(AND($AA15&gt;$AE$3,$Z15&lt;$AF$3),IF(AND($Z15&lt;=$AE$3),IF($AA15&gt;=$AF$3,$AF$3-$AE$3,$AA15-$AE$3),IF($AA15&gt;=$AF$3,$AF$3-$Z15,$AA15-$Z15)),0),0)</f>
        <v>0</v>
      </c>
      <c r="BW15" s="123">
        <f t="shared" si="35"/>
        <v>0</v>
      </c>
      <c r="BX15" s="123">
        <f t="shared" si="36"/>
        <v>0</v>
      </c>
      <c r="BY15" s="123">
        <f t="shared" si="37"/>
        <v>0</v>
      </c>
      <c r="BZ15" s="123">
        <f t="shared" si="38"/>
        <v>0</v>
      </c>
      <c r="CA15" s="123">
        <f t="shared" si="39"/>
        <v>0</v>
      </c>
      <c r="CB15" s="123">
        <f t="shared" si="40"/>
        <v>0</v>
      </c>
      <c r="CC15" s="123">
        <f t="shared" si="49"/>
        <v>0</v>
      </c>
      <c r="CD15" s="74"/>
      <c r="CE15" s="123">
        <f t="shared" si="41"/>
        <v>0</v>
      </c>
      <c r="CH15" s="295" t="s">
        <v>269</v>
      </c>
      <c r="CI15" s="15">
        <v>6</v>
      </c>
      <c r="CJ15" s="15" t="s">
        <v>269</v>
      </c>
      <c r="CK15" s="518" t="s">
        <v>544</v>
      </c>
      <c r="CL15" s="17">
        <v>0.31944444444444448</v>
      </c>
      <c r="CM15" s="17">
        <v>0.29166666666666669</v>
      </c>
      <c r="CN15" s="17">
        <v>0.35416666666666669</v>
      </c>
      <c r="CO15" s="17">
        <v>0.70833333333333337</v>
      </c>
      <c r="CP15" s="17">
        <v>1.0416666666666666E-2</v>
      </c>
      <c r="CQ15" s="17">
        <v>1.0416666666666666E-2</v>
      </c>
      <c r="CR15" s="17">
        <v>2.0833333333333332E-2</v>
      </c>
      <c r="CS15" s="17">
        <v>0.51041666666666663</v>
      </c>
      <c r="CT15" s="17">
        <v>0.54166666666666663</v>
      </c>
      <c r="CU15" s="17">
        <v>0.70833333333333337</v>
      </c>
      <c r="CV15" s="17">
        <v>0.71875</v>
      </c>
      <c r="CW15" s="17"/>
      <c r="CX15" s="17"/>
      <c r="CY15" s="17"/>
      <c r="CZ15" s="17"/>
      <c r="DA15" s="17"/>
      <c r="DB15" s="17"/>
      <c r="DC15" s="17"/>
      <c r="DD15" s="17"/>
      <c r="DE15" s="17"/>
      <c r="DF15" s="17"/>
    </row>
    <row r="16" spans="1:111" ht="18" customHeight="1">
      <c r="A16" s="488">
        <f t="shared" si="50"/>
        <v>43745</v>
      </c>
      <c r="B16" s="317">
        <f t="shared" si="1"/>
        <v>2</v>
      </c>
      <c r="C16" s="66"/>
      <c r="D16" s="542">
        <v>0.39583333333333331</v>
      </c>
      <c r="E16" s="301" t="s">
        <v>1</v>
      </c>
      <c r="F16" s="545">
        <v>0.75</v>
      </c>
      <c r="G16" s="456"/>
      <c r="H16" s="559"/>
      <c r="I16" s="556"/>
      <c r="J16" s="314">
        <f>IF(A16="","",'&lt;高橋敦&gt;報告. 1910'!BJ16)</f>
        <v>0.3125</v>
      </c>
      <c r="K16" s="51">
        <f>TIME(0,'&lt;高橋敦&gt;報告. 1910'!BC16,0)</f>
        <v>0.3125</v>
      </c>
      <c r="L16" s="549">
        <f>IF(A16="","",'&lt;高橋敦&gt;報告. 1910'!BE16)</f>
        <v>0.3125</v>
      </c>
      <c r="M16" s="552">
        <f>IF(A16="","",'&lt;高橋敦&gt;報告. 1910'!BH16)</f>
        <v>1.4583333333333335</v>
      </c>
      <c r="N16" s="312"/>
      <c r="O16" s="55" t="str">
        <f>IF(A16="","",'&lt;高橋敦&gt;報告. 1910'!BS16)</f>
        <v>-2:30</v>
      </c>
      <c r="P16" s="708"/>
      <c r="Q16" s="708"/>
      <c r="R16" s="709"/>
      <c r="S16" s="710"/>
      <c r="T16" s="65"/>
      <c r="U16" s="45">
        <f t="shared" si="2"/>
        <v>1</v>
      </c>
      <c r="V16" s="62" t="b">
        <f t="shared" si="42"/>
        <v>0</v>
      </c>
      <c r="W16" s="62"/>
      <c r="X16" s="110">
        <f>'&lt;高橋敦&gt;報告. 1910'!A16</f>
        <v>43745</v>
      </c>
      <c r="Y16" s="111">
        <f t="shared" si="43"/>
        <v>570</v>
      </c>
      <c r="Z16" s="111">
        <f t="shared" si="3"/>
        <v>570</v>
      </c>
      <c r="AA16" s="111">
        <f t="shared" si="44"/>
        <v>1080</v>
      </c>
      <c r="AB16" s="77">
        <f t="shared" si="4"/>
        <v>1080</v>
      </c>
      <c r="AC16" s="112">
        <f t="shared" si="5"/>
        <v>0</v>
      </c>
      <c r="AD16" s="111">
        <f t="shared" si="6"/>
        <v>570</v>
      </c>
      <c r="AE16" s="77">
        <f t="shared" si="7"/>
        <v>720</v>
      </c>
      <c r="AF16" s="113">
        <f t="shared" si="8"/>
        <v>150</v>
      </c>
      <c r="AG16" s="77">
        <f t="shared" si="9"/>
        <v>780</v>
      </c>
      <c r="AH16" s="77">
        <f t="shared" si="45"/>
        <v>1080</v>
      </c>
      <c r="AI16" s="112">
        <f t="shared" si="10"/>
        <v>300</v>
      </c>
      <c r="AJ16" s="77">
        <f t="shared" si="11"/>
        <v>1200</v>
      </c>
      <c r="AK16" s="77">
        <f t="shared" si="12"/>
        <v>1080</v>
      </c>
      <c r="AL16" s="112">
        <f t="shared" si="13"/>
        <v>0</v>
      </c>
      <c r="AM16" s="77">
        <f t="shared" si="14"/>
        <v>1500</v>
      </c>
      <c r="AN16" s="77">
        <f t="shared" si="15"/>
        <v>1080</v>
      </c>
      <c r="AO16" s="112">
        <f t="shared" si="16"/>
        <v>0</v>
      </c>
      <c r="AP16" s="77">
        <f t="shared" si="17"/>
        <v>1860</v>
      </c>
      <c r="AQ16" s="77">
        <f t="shared" si="18"/>
        <v>1080</v>
      </c>
      <c r="AR16" s="112">
        <f t="shared" si="19"/>
        <v>0</v>
      </c>
      <c r="AS16" s="77">
        <f t="shared" si="20"/>
        <v>1980</v>
      </c>
      <c r="AT16" s="77">
        <f t="shared" si="21"/>
        <v>1080</v>
      </c>
      <c r="AU16" s="112">
        <f t="shared" si="22"/>
        <v>0</v>
      </c>
      <c r="AV16" s="77">
        <f t="shared" si="23"/>
        <v>1980</v>
      </c>
      <c r="AW16" s="77">
        <f t="shared" si="24"/>
        <v>1080</v>
      </c>
      <c r="AX16" s="112">
        <f t="shared" si="25"/>
        <v>0</v>
      </c>
      <c r="AY16" s="114">
        <f>IF('&lt;高橋敦&gt;報告. 1910'!G16='&lt;高橋敦&gt;報告. 1910'!$AY$9,'&lt;高橋敦&gt;報告. 1910'!$X$4,0)</f>
        <v>0</v>
      </c>
      <c r="AZ16" s="115">
        <f>IF(ISNUMBER('&lt;高橋敦&gt;報告. 1910'!I16),'&lt;高橋敦&gt;報告. 1910'!I16,0)*24*60</f>
        <v>0</v>
      </c>
      <c r="BA16" s="115">
        <f>'&lt;高橋敦&gt;報告. 1910'!H16*24*60</f>
        <v>0</v>
      </c>
      <c r="BB16" s="115">
        <f t="shared" si="26"/>
        <v>0</v>
      </c>
      <c r="BC16" s="116">
        <f t="shared" si="27"/>
        <v>450</v>
      </c>
      <c r="BD16" s="111">
        <f t="shared" si="46"/>
        <v>450</v>
      </c>
      <c r="BE16" s="117">
        <f t="shared" si="28"/>
        <v>0.3125</v>
      </c>
      <c r="BF16" s="117">
        <f t="shared" si="29"/>
        <v>0.3125</v>
      </c>
      <c r="BG16" s="118">
        <f>SUM(BD$10:BD16)</f>
        <v>2100</v>
      </c>
      <c r="BH16" s="119">
        <f>SUM(BE$10:BE16)</f>
        <v>1.4583333333333335</v>
      </c>
      <c r="BI16" s="120">
        <f>IF('&lt;高橋敦&gt;報告. 1910'!U16=1,'&lt;高橋敦&gt;報告. 1910'!$X$4,0)</f>
        <v>450</v>
      </c>
      <c r="BJ16" s="117">
        <f t="shared" si="30"/>
        <v>0.3125</v>
      </c>
      <c r="BK16" s="120">
        <f>SUM(BI$10:BI16)</f>
        <v>2250</v>
      </c>
      <c r="BL16" s="119">
        <f>SUM(BJ$10:BJ16)</f>
        <v>1.5625</v>
      </c>
      <c r="BM16" s="120">
        <f t="shared" si="31"/>
        <v>0</v>
      </c>
      <c r="BN16" s="121" t="str">
        <f t="shared" si="32"/>
        <v/>
      </c>
      <c r="BO16" s="119">
        <f t="shared" si="47"/>
        <v>0</v>
      </c>
      <c r="BP16" s="120">
        <f>SUM(BM$10:BM16)</f>
        <v>-150</v>
      </c>
      <c r="BQ16" s="121" t="str">
        <f t="shared" si="33"/>
        <v>-</v>
      </c>
      <c r="BR16" s="122">
        <f t="shared" si="34"/>
        <v>150</v>
      </c>
      <c r="BS16" s="299" t="str">
        <f>IF(SUM($BO$10:BO16)&lt;0,TEXT(ABS(SUM($BO$10:BO16)),"-[h]:mm"),SUM($BO$10:BO16))</f>
        <v>-2:30</v>
      </c>
      <c r="BT16" s="124"/>
      <c r="BU16" s="123">
        <f t="shared" si="48"/>
        <v>60</v>
      </c>
      <c r="BV16" s="123">
        <f t="shared" si="51"/>
        <v>60</v>
      </c>
      <c r="BW16" s="123">
        <f t="shared" si="35"/>
        <v>0</v>
      </c>
      <c r="BX16" s="123">
        <f t="shared" si="36"/>
        <v>0</v>
      </c>
      <c r="BY16" s="123">
        <f t="shared" si="37"/>
        <v>0</v>
      </c>
      <c r="BZ16" s="123">
        <f t="shared" si="38"/>
        <v>0</v>
      </c>
      <c r="CA16" s="123">
        <f t="shared" si="39"/>
        <v>0</v>
      </c>
      <c r="CB16" s="123">
        <f t="shared" si="40"/>
        <v>0</v>
      </c>
      <c r="CC16" s="123">
        <f t="shared" si="49"/>
        <v>0</v>
      </c>
      <c r="CD16" s="74"/>
      <c r="CE16" s="123">
        <f t="shared" si="41"/>
        <v>6</v>
      </c>
      <c r="CH16" s="295" t="s">
        <v>270</v>
      </c>
      <c r="CI16" s="12">
        <v>7</v>
      </c>
      <c r="CJ16" s="12"/>
      <c r="CK16" s="18"/>
      <c r="CL16" s="14"/>
      <c r="CM16" s="14"/>
      <c r="CN16" s="14"/>
      <c r="CO16" s="14"/>
      <c r="CP16" s="14"/>
      <c r="CQ16" s="14"/>
      <c r="CR16" s="14"/>
      <c r="CS16" s="14"/>
      <c r="CT16" s="14"/>
      <c r="CU16" s="14"/>
      <c r="CV16" s="14"/>
      <c r="CW16" s="14"/>
      <c r="CX16" s="14"/>
      <c r="CY16" s="14"/>
      <c r="CZ16" s="14"/>
      <c r="DA16" s="14"/>
      <c r="DB16" s="14"/>
      <c r="DC16" s="14"/>
      <c r="DD16" s="14"/>
      <c r="DE16" s="14"/>
      <c r="DF16" s="14"/>
    </row>
    <row r="17" spans="1:110" ht="18" customHeight="1">
      <c r="A17" s="488">
        <f t="shared" si="50"/>
        <v>43746</v>
      </c>
      <c r="B17" s="317">
        <f t="shared" si="1"/>
        <v>3</v>
      </c>
      <c r="C17" s="66"/>
      <c r="D17" s="542">
        <v>0.39583333333333331</v>
      </c>
      <c r="E17" s="301" t="s">
        <v>1</v>
      </c>
      <c r="F17" s="545">
        <v>0.75</v>
      </c>
      <c r="G17" s="456"/>
      <c r="H17" s="559"/>
      <c r="I17" s="556"/>
      <c r="J17" s="314">
        <f>IF(A17="","",'&lt;高橋敦&gt;報告. 1910'!BJ17)</f>
        <v>0.3125</v>
      </c>
      <c r="K17" s="51">
        <f>TIME(0,'&lt;高橋敦&gt;報告. 1910'!BC17,0)</f>
        <v>0.3125</v>
      </c>
      <c r="L17" s="549">
        <f>IF(A17="","",'&lt;高橋敦&gt;報告. 1910'!BE17)</f>
        <v>0.3125</v>
      </c>
      <c r="M17" s="552">
        <f>IF(A17="","",'&lt;高橋敦&gt;報告. 1910'!BH17)</f>
        <v>1.7708333333333335</v>
      </c>
      <c r="N17" s="312"/>
      <c r="O17" s="55" t="str">
        <f>IF(A17="","",'&lt;高橋敦&gt;報告. 1910'!BS17)</f>
        <v>-2:30</v>
      </c>
      <c r="P17" s="708"/>
      <c r="Q17" s="708"/>
      <c r="R17" s="709"/>
      <c r="S17" s="710"/>
      <c r="T17" s="65"/>
      <c r="U17" s="45">
        <f t="shared" si="2"/>
        <v>1</v>
      </c>
      <c r="V17" s="62" t="b">
        <f t="shared" si="42"/>
        <v>0</v>
      </c>
      <c r="W17" s="62"/>
      <c r="X17" s="110">
        <f>'&lt;高橋敦&gt;報告. 1910'!A17</f>
        <v>43746</v>
      </c>
      <c r="Y17" s="111">
        <f t="shared" si="43"/>
        <v>570</v>
      </c>
      <c r="Z17" s="111">
        <f t="shared" si="3"/>
        <v>570</v>
      </c>
      <c r="AA17" s="111">
        <f t="shared" si="44"/>
        <v>1080</v>
      </c>
      <c r="AB17" s="77">
        <f t="shared" si="4"/>
        <v>1080</v>
      </c>
      <c r="AC17" s="112">
        <f t="shared" si="5"/>
        <v>0</v>
      </c>
      <c r="AD17" s="111">
        <f t="shared" si="6"/>
        <v>570</v>
      </c>
      <c r="AE17" s="77">
        <f t="shared" si="7"/>
        <v>720</v>
      </c>
      <c r="AF17" s="113">
        <f t="shared" si="8"/>
        <v>150</v>
      </c>
      <c r="AG17" s="77">
        <f t="shared" si="9"/>
        <v>780</v>
      </c>
      <c r="AH17" s="77">
        <f t="shared" si="45"/>
        <v>1080</v>
      </c>
      <c r="AI17" s="112">
        <f t="shared" si="10"/>
        <v>300</v>
      </c>
      <c r="AJ17" s="77">
        <f t="shared" si="11"/>
        <v>1200</v>
      </c>
      <c r="AK17" s="77">
        <f t="shared" si="12"/>
        <v>1080</v>
      </c>
      <c r="AL17" s="112">
        <f t="shared" si="13"/>
        <v>0</v>
      </c>
      <c r="AM17" s="77">
        <f t="shared" si="14"/>
        <v>1500</v>
      </c>
      <c r="AN17" s="77">
        <f t="shared" si="15"/>
        <v>1080</v>
      </c>
      <c r="AO17" s="112">
        <f t="shared" si="16"/>
        <v>0</v>
      </c>
      <c r="AP17" s="77">
        <f t="shared" si="17"/>
        <v>1860</v>
      </c>
      <c r="AQ17" s="77">
        <f t="shared" si="18"/>
        <v>1080</v>
      </c>
      <c r="AR17" s="112">
        <f t="shared" si="19"/>
        <v>0</v>
      </c>
      <c r="AS17" s="77">
        <f t="shared" si="20"/>
        <v>1980</v>
      </c>
      <c r="AT17" s="77">
        <f t="shared" si="21"/>
        <v>1080</v>
      </c>
      <c r="AU17" s="112">
        <f t="shared" si="22"/>
        <v>0</v>
      </c>
      <c r="AV17" s="77">
        <f t="shared" si="23"/>
        <v>1980</v>
      </c>
      <c r="AW17" s="77">
        <f t="shared" si="24"/>
        <v>1080</v>
      </c>
      <c r="AX17" s="112">
        <f t="shared" si="25"/>
        <v>0</v>
      </c>
      <c r="AY17" s="114">
        <f>IF('&lt;高橋敦&gt;報告. 1910'!G17='&lt;高橋敦&gt;報告. 1910'!$AY$9,'&lt;高橋敦&gt;報告. 1910'!$X$4,0)</f>
        <v>0</v>
      </c>
      <c r="AZ17" s="115">
        <f>IF(ISNUMBER('&lt;高橋敦&gt;報告. 1910'!I17),'&lt;高橋敦&gt;報告. 1910'!I17,0)*24*60</f>
        <v>0</v>
      </c>
      <c r="BA17" s="115">
        <f>'&lt;高橋敦&gt;報告. 1910'!H17*24*60</f>
        <v>0</v>
      </c>
      <c r="BB17" s="115">
        <f t="shared" si="26"/>
        <v>0</v>
      </c>
      <c r="BC17" s="116">
        <f t="shared" si="27"/>
        <v>450</v>
      </c>
      <c r="BD17" s="111">
        <f t="shared" si="46"/>
        <v>450</v>
      </c>
      <c r="BE17" s="117">
        <f t="shared" si="28"/>
        <v>0.3125</v>
      </c>
      <c r="BF17" s="117">
        <f t="shared" si="29"/>
        <v>0.3125</v>
      </c>
      <c r="BG17" s="118">
        <f>SUM(BD$10:BD17)</f>
        <v>2550</v>
      </c>
      <c r="BH17" s="119">
        <f>SUM(BE$10:BE17)</f>
        <v>1.7708333333333335</v>
      </c>
      <c r="BI17" s="120">
        <f>IF('&lt;高橋敦&gt;報告. 1910'!U17=1,'&lt;高橋敦&gt;報告. 1910'!$X$4,0)</f>
        <v>450</v>
      </c>
      <c r="BJ17" s="117">
        <f t="shared" si="30"/>
        <v>0.3125</v>
      </c>
      <c r="BK17" s="120">
        <f>SUM(BI$10:BI17)</f>
        <v>2700</v>
      </c>
      <c r="BL17" s="119">
        <f>SUM(BJ$10:BJ17)</f>
        <v>1.875</v>
      </c>
      <c r="BM17" s="120">
        <f t="shared" si="31"/>
        <v>0</v>
      </c>
      <c r="BN17" s="121" t="str">
        <f t="shared" si="32"/>
        <v/>
      </c>
      <c r="BO17" s="119">
        <f t="shared" si="47"/>
        <v>0</v>
      </c>
      <c r="BP17" s="120">
        <f>SUM(BM$10:BM17)</f>
        <v>-150</v>
      </c>
      <c r="BQ17" s="121" t="str">
        <f t="shared" si="33"/>
        <v>-</v>
      </c>
      <c r="BR17" s="122">
        <f t="shared" si="34"/>
        <v>150</v>
      </c>
      <c r="BS17" s="299" t="str">
        <f>IF(SUM($BO$10:BO17)&lt;0,TEXT(ABS(SUM($BO$10:BO17)),"-[h]:mm"),SUM($BO$10:BO17))</f>
        <v>-2:30</v>
      </c>
      <c r="BT17" s="124"/>
      <c r="BU17" s="123">
        <f t="shared" si="48"/>
        <v>60</v>
      </c>
      <c r="BV17" s="123">
        <f t="shared" si="51"/>
        <v>60</v>
      </c>
      <c r="BW17" s="123">
        <f t="shared" si="35"/>
        <v>0</v>
      </c>
      <c r="BX17" s="123">
        <f t="shared" si="36"/>
        <v>0</v>
      </c>
      <c r="BY17" s="123">
        <f t="shared" si="37"/>
        <v>0</v>
      </c>
      <c r="BZ17" s="123">
        <f t="shared" si="38"/>
        <v>0</v>
      </c>
      <c r="CA17" s="123">
        <f t="shared" si="39"/>
        <v>0</v>
      </c>
      <c r="CB17" s="123">
        <f t="shared" si="40"/>
        <v>0</v>
      </c>
      <c r="CC17" s="123">
        <f t="shared" si="49"/>
        <v>0</v>
      </c>
      <c r="CD17" s="74"/>
      <c r="CE17" s="123">
        <f t="shared" si="41"/>
        <v>6</v>
      </c>
      <c r="CH17" s="295" t="s">
        <v>271</v>
      </c>
      <c r="CI17" s="15">
        <v>8</v>
      </c>
      <c r="CJ17" s="15"/>
      <c r="CK17" s="19"/>
      <c r="CL17" s="17"/>
      <c r="CM17" s="17"/>
      <c r="CN17" s="17"/>
      <c r="CO17" s="17"/>
      <c r="CP17" s="17"/>
      <c r="CQ17" s="17"/>
      <c r="CR17" s="17"/>
      <c r="CS17" s="17"/>
      <c r="CT17" s="17"/>
      <c r="CU17" s="17"/>
      <c r="CV17" s="17"/>
      <c r="CW17" s="17"/>
      <c r="CX17" s="17"/>
      <c r="CY17" s="17"/>
      <c r="CZ17" s="17"/>
      <c r="DA17" s="17"/>
      <c r="DB17" s="17"/>
      <c r="DC17" s="17"/>
      <c r="DD17" s="17"/>
      <c r="DE17" s="17"/>
      <c r="DF17" s="17"/>
    </row>
    <row r="18" spans="1:110" ht="18" customHeight="1">
      <c r="A18" s="488">
        <f t="shared" si="50"/>
        <v>43747</v>
      </c>
      <c r="B18" s="317">
        <f t="shared" si="1"/>
        <v>4</v>
      </c>
      <c r="C18" s="66"/>
      <c r="D18" s="542">
        <v>0.39583333333333331</v>
      </c>
      <c r="E18" s="301" t="s">
        <v>1</v>
      </c>
      <c r="F18" s="545">
        <v>0.75</v>
      </c>
      <c r="G18" s="456"/>
      <c r="H18" s="559"/>
      <c r="I18" s="556"/>
      <c r="J18" s="314">
        <f>IF(A18="","",'&lt;高橋敦&gt;報告. 1910'!BJ18)</f>
        <v>0.3125</v>
      </c>
      <c r="K18" s="51">
        <f>TIME(0,'&lt;高橋敦&gt;報告. 1910'!BC18,0)</f>
        <v>0.3125</v>
      </c>
      <c r="L18" s="549">
        <f>IF(A18="","",'&lt;高橋敦&gt;報告. 1910'!BE18)</f>
        <v>0.3125</v>
      </c>
      <c r="M18" s="552">
        <f>IF(A18="","",'&lt;高橋敦&gt;報告. 1910'!BH18)</f>
        <v>2.0833333333333335</v>
      </c>
      <c r="N18" s="312"/>
      <c r="O18" s="55" t="str">
        <f>IF(A18="","",'&lt;高橋敦&gt;報告. 1910'!BS18)</f>
        <v>-2:30</v>
      </c>
      <c r="P18" s="708"/>
      <c r="Q18" s="708"/>
      <c r="R18" s="709"/>
      <c r="S18" s="710"/>
      <c r="T18" s="65"/>
      <c r="U18" s="45">
        <f t="shared" si="2"/>
        <v>1</v>
      </c>
      <c r="V18" s="62" t="b">
        <f t="shared" si="42"/>
        <v>0</v>
      </c>
      <c r="W18" s="62"/>
      <c r="X18" s="110">
        <f>'&lt;高橋敦&gt;報告. 1910'!A18</f>
        <v>43747</v>
      </c>
      <c r="Y18" s="111">
        <f t="shared" si="43"/>
        <v>570</v>
      </c>
      <c r="Z18" s="111">
        <f t="shared" si="3"/>
        <v>570</v>
      </c>
      <c r="AA18" s="111">
        <f t="shared" si="44"/>
        <v>1080</v>
      </c>
      <c r="AB18" s="77">
        <f t="shared" si="4"/>
        <v>1080</v>
      </c>
      <c r="AC18" s="112">
        <f t="shared" si="5"/>
        <v>0</v>
      </c>
      <c r="AD18" s="111">
        <f t="shared" si="6"/>
        <v>570</v>
      </c>
      <c r="AE18" s="77">
        <f t="shared" si="7"/>
        <v>720</v>
      </c>
      <c r="AF18" s="113">
        <f t="shared" si="8"/>
        <v>150</v>
      </c>
      <c r="AG18" s="77">
        <f t="shared" si="9"/>
        <v>780</v>
      </c>
      <c r="AH18" s="77">
        <f t="shared" si="45"/>
        <v>1080</v>
      </c>
      <c r="AI18" s="112">
        <f t="shared" si="10"/>
        <v>300</v>
      </c>
      <c r="AJ18" s="77">
        <f t="shared" si="11"/>
        <v>1200</v>
      </c>
      <c r="AK18" s="77">
        <f t="shared" si="12"/>
        <v>1080</v>
      </c>
      <c r="AL18" s="112">
        <f t="shared" si="13"/>
        <v>0</v>
      </c>
      <c r="AM18" s="77">
        <f t="shared" si="14"/>
        <v>1500</v>
      </c>
      <c r="AN18" s="77">
        <f t="shared" si="15"/>
        <v>1080</v>
      </c>
      <c r="AO18" s="112">
        <f t="shared" si="16"/>
        <v>0</v>
      </c>
      <c r="AP18" s="77">
        <f t="shared" si="17"/>
        <v>1860</v>
      </c>
      <c r="AQ18" s="77">
        <f t="shared" si="18"/>
        <v>1080</v>
      </c>
      <c r="AR18" s="112">
        <f t="shared" si="19"/>
        <v>0</v>
      </c>
      <c r="AS18" s="77">
        <f t="shared" si="20"/>
        <v>1980</v>
      </c>
      <c r="AT18" s="77">
        <f t="shared" si="21"/>
        <v>1080</v>
      </c>
      <c r="AU18" s="112">
        <f t="shared" si="22"/>
        <v>0</v>
      </c>
      <c r="AV18" s="77">
        <f t="shared" si="23"/>
        <v>1980</v>
      </c>
      <c r="AW18" s="77">
        <f t="shared" si="24"/>
        <v>1080</v>
      </c>
      <c r="AX18" s="112">
        <f t="shared" si="25"/>
        <v>0</v>
      </c>
      <c r="AY18" s="114">
        <f>IF('&lt;高橋敦&gt;報告. 1910'!G18='&lt;高橋敦&gt;報告. 1910'!$AY$9,'&lt;高橋敦&gt;報告. 1910'!$X$4,0)</f>
        <v>0</v>
      </c>
      <c r="AZ18" s="115">
        <f>IF(ISNUMBER('&lt;高橋敦&gt;報告. 1910'!I18),'&lt;高橋敦&gt;報告. 1910'!I18,0)*24*60</f>
        <v>0</v>
      </c>
      <c r="BA18" s="115">
        <f>'&lt;高橋敦&gt;報告. 1910'!H18*24*60</f>
        <v>0</v>
      </c>
      <c r="BB18" s="115">
        <f t="shared" si="26"/>
        <v>0</v>
      </c>
      <c r="BC18" s="116">
        <f t="shared" si="27"/>
        <v>450</v>
      </c>
      <c r="BD18" s="111">
        <f t="shared" si="46"/>
        <v>450</v>
      </c>
      <c r="BE18" s="117">
        <f t="shared" si="28"/>
        <v>0.3125</v>
      </c>
      <c r="BF18" s="117">
        <f t="shared" si="29"/>
        <v>0.3125</v>
      </c>
      <c r="BG18" s="118">
        <f>SUM(BD$10:BD18)</f>
        <v>3000</v>
      </c>
      <c r="BH18" s="119">
        <f>SUM(BE$10:BE18)</f>
        <v>2.0833333333333335</v>
      </c>
      <c r="BI18" s="120">
        <f>IF('&lt;高橋敦&gt;報告. 1910'!U18=1,'&lt;高橋敦&gt;報告. 1910'!$X$4,0)</f>
        <v>450</v>
      </c>
      <c r="BJ18" s="117">
        <f t="shared" si="30"/>
        <v>0.3125</v>
      </c>
      <c r="BK18" s="120">
        <f>SUM(BI$10:BI18)</f>
        <v>3150</v>
      </c>
      <c r="BL18" s="119">
        <f>SUM(BJ$10:BJ18)</f>
        <v>2.1875</v>
      </c>
      <c r="BM18" s="120">
        <f t="shared" si="31"/>
        <v>0</v>
      </c>
      <c r="BN18" s="121" t="str">
        <f t="shared" si="32"/>
        <v/>
      </c>
      <c r="BO18" s="119">
        <f t="shared" si="47"/>
        <v>0</v>
      </c>
      <c r="BP18" s="120">
        <f>SUM(BM$10:BM18)</f>
        <v>-150</v>
      </c>
      <c r="BQ18" s="121" t="str">
        <f t="shared" si="33"/>
        <v>-</v>
      </c>
      <c r="BR18" s="122">
        <f t="shared" si="34"/>
        <v>150</v>
      </c>
      <c r="BS18" s="299" t="str">
        <f>IF(SUM($BO$10:BO18)&lt;0,TEXT(ABS(SUM($BO$10:BO18)),"-[h]:mm"),SUM($BO$10:BO18))</f>
        <v>-2:30</v>
      </c>
      <c r="BT18" s="124"/>
      <c r="BU18" s="123">
        <f t="shared" si="48"/>
        <v>60</v>
      </c>
      <c r="BV18" s="123">
        <f t="shared" si="51"/>
        <v>60</v>
      </c>
      <c r="BW18" s="123">
        <f t="shared" si="35"/>
        <v>0</v>
      </c>
      <c r="BX18" s="123">
        <f t="shared" si="36"/>
        <v>0</v>
      </c>
      <c r="BY18" s="123">
        <f t="shared" si="37"/>
        <v>0</v>
      </c>
      <c r="BZ18" s="123">
        <f t="shared" si="38"/>
        <v>0</v>
      </c>
      <c r="CA18" s="123">
        <f t="shared" si="39"/>
        <v>0</v>
      </c>
      <c r="CB18" s="123">
        <f t="shared" si="40"/>
        <v>0</v>
      </c>
      <c r="CC18" s="123">
        <f t="shared" si="49"/>
        <v>0</v>
      </c>
      <c r="CD18" s="74"/>
      <c r="CE18" s="123">
        <f t="shared" si="41"/>
        <v>6</v>
      </c>
      <c r="CH18" s="295" t="s">
        <v>272</v>
      </c>
      <c r="CI18" s="12">
        <v>9</v>
      </c>
      <c r="CJ18" s="12"/>
      <c r="CK18" s="13"/>
      <c r="CL18" s="14"/>
      <c r="CM18" s="14"/>
      <c r="CN18" s="14"/>
      <c r="CO18" s="14"/>
      <c r="CP18" s="14"/>
      <c r="CQ18" s="14"/>
      <c r="CR18" s="14"/>
      <c r="CS18" s="14"/>
      <c r="CT18" s="14"/>
      <c r="CU18" s="14"/>
      <c r="CV18" s="14"/>
      <c r="CW18" s="14"/>
      <c r="CX18" s="14"/>
      <c r="CY18" s="14"/>
      <c r="CZ18" s="14"/>
      <c r="DA18" s="14"/>
      <c r="DB18" s="14"/>
      <c r="DC18" s="14"/>
      <c r="DD18" s="14"/>
      <c r="DE18" s="14"/>
      <c r="DF18" s="14"/>
    </row>
    <row r="19" spans="1:110" ht="18" customHeight="1">
      <c r="A19" s="488">
        <f t="shared" si="50"/>
        <v>43748</v>
      </c>
      <c r="B19" s="317">
        <f t="shared" si="1"/>
        <v>5</v>
      </c>
      <c r="C19" s="66"/>
      <c r="D19" s="542">
        <v>0.39583333333333331</v>
      </c>
      <c r="E19" s="301" t="s">
        <v>1</v>
      </c>
      <c r="F19" s="545">
        <v>0.75</v>
      </c>
      <c r="G19" s="456"/>
      <c r="H19" s="559"/>
      <c r="I19" s="556"/>
      <c r="J19" s="314">
        <f>IF(A19="","",'&lt;高橋敦&gt;報告. 1910'!BJ19)</f>
        <v>0.3125</v>
      </c>
      <c r="K19" s="51">
        <f>TIME(0,'&lt;高橋敦&gt;報告. 1910'!BC19,0)</f>
        <v>0.3125</v>
      </c>
      <c r="L19" s="549">
        <f>IF(A19="","",'&lt;高橋敦&gt;報告. 1910'!BE19)</f>
        <v>0.3125</v>
      </c>
      <c r="M19" s="552">
        <f>IF(A19="","",'&lt;高橋敦&gt;報告. 1910'!BH19)</f>
        <v>2.3958333333333335</v>
      </c>
      <c r="N19" s="312"/>
      <c r="O19" s="55" t="str">
        <f>IF(A19="","",'&lt;高橋敦&gt;報告. 1910'!BS19)</f>
        <v>-2:30</v>
      </c>
      <c r="P19" s="708"/>
      <c r="Q19" s="708"/>
      <c r="R19" s="709"/>
      <c r="S19" s="710"/>
      <c r="T19" s="65"/>
      <c r="U19" s="45">
        <f t="shared" si="2"/>
        <v>1</v>
      </c>
      <c r="V19" s="62" t="b">
        <f t="shared" si="42"/>
        <v>0</v>
      </c>
      <c r="W19" s="62"/>
      <c r="X19" s="110">
        <f>'&lt;高橋敦&gt;報告. 1910'!A19</f>
        <v>43748</v>
      </c>
      <c r="Y19" s="111">
        <f t="shared" si="43"/>
        <v>570</v>
      </c>
      <c r="Z19" s="111">
        <f t="shared" si="3"/>
        <v>570</v>
      </c>
      <c r="AA19" s="111">
        <f t="shared" si="44"/>
        <v>1080</v>
      </c>
      <c r="AB19" s="77">
        <f t="shared" si="4"/>
        <v>1080</v>
      </c>
      <c r="AC19" s="112">
        <f t="shared" si="5"/>
        <v>0</v>
      </c>
      <c r="AD19" s="111">
        <f t="shared" si="6"/>
        <v>570</v>
      </c>
      <c r="AE19" s="77">
        <f t="shared" si="7"/>
        <v>720</v>
      </c>
      <c r="AF19" s="113">
        <f t="shared" si="8"/>
        <v>150</v>
      </c>
      <c r="AG19" s="77">
        <f t="shared" si="9"/>
        <v>780</v>
      </c>
      <c r="AH19" s="77">
        <f t="shared" si="45"/>
        <v>1080</v>
      </c>
      <c r="AI19" s="112">
        <f t="shared" si="10"/>
        <v>300</v>
      </c>
      <c r="AJ19" s="77">
        <f t="shared" si="11"/>
        <v>1200</v>
      </c>
      <c r="AK19" s="77">
        <f t="shared" si="12"/>
        <v>1080</v>
      </c>
      <c r="AL19" s="112">
        <f t="shared" si="13"/>
        <v>0</v>
      </c>
      <c r="AM19" s="77">
        <f t="shared" si="14"/>
        <v>1500</v>
      </c>
      <c r="AN19" s="77">
        <f t="shared" si="15"/>
        <v>1080</v>
      </c>
      <c r="AO19" s="112">
        <f t="shared" si="16"/>
        <v>0</v>
      </c>
      <c r="AP19" s="77">
        <f t="shared" si="17"/>
        <v>1860</v>
      </c>
      <c r="AQ19" s="77">
        <f t="shared" si="18"/>
        <v>1080</v>
      </c>
      <c r="AR19" s="112">
        <f t="shared" si="19"/>
        <v>0</v>
      </c>
      <c r="AS19" s="77">
        <f t="shared" si="20"/>
        <v>1980</v>
      </c>
      <c r="AT19" s="77">
        <f t="shared" si="21"/>
        <v>1080</v>
      </c>
      <c r="AU19" s="112">
        <f t="shared" si="22"/>
        <v>0</v>
      </c>
      <c r="AV19" s="77">
        <f t="shared" si="23"/>
        <v>1980</v>
      </c>
      <c r="AW19" s="77">
        <f t="shared" si="24"/>
        <v>1080</v>
      </c>
      <c r="AX19" s="112">
        <f t="shared" si="25"/>
        <v>0</v>
      </c>
      <c r="AY19" s="114">
        <f>IF('&lt;高橋敦&gt;報告. 1910'!G19='&lt;高橋敦&gt;報告. 1910'!$AY$9,'&lt;高橋敦&gt;報告. 1910'!$X$4,0)</f>
        <v>0</v>
      </c>
      <c r="AZ19" s="115">
        <f>IF(ISNUMBER('&lt;高橋敦&gt;報告. 1910'!I19),'&lt;高橋敦&gt;報告. 1910'!I19,0)*24*60</f>
        <v>0</v>
      </c>
      <c r="BA19" s="115">
        <f>'&lt;高橋敦&gt;報告. 1910'!H19*24*60</f>
        <v>0</v>
      </c>
      <c r="BB19" s="115">
        <f t="shared" si="26"/>
        <v>0</v>
      </c>
      <c r="BC19" s="116">
        <f t="shared" si="27"/>
        <v>450</v>
      </c>
      <c r="BD19" s="111">
        <f t="shared" si="46"/>
        <v>450</v>
      </c>
      <c r="BE19" s="117">
        <f t="shared" si="28"/>
        <v>0.3125</v>
      </c>
      <c r="BF19" s="117">
        <f t="shared" si="29"/>
        <v>0.3125</v>
      </c>
      <c r="BG19" s="118">
        <f>SUM(BD$10:BD19)</f>
        <v>3450</v>
      </c>
      <c r="BH19" s="119">
        <f>SUM(BE$10:BE19)</f>
        <v>2.3958333333333335</v>
      </c>
      <c r="BI19" s="120">
        <f>IF('&lt;高橋敦&gt;報告. 1910'!U19=1,'&lt;高橋敦&gt;報告. 1910'!$X$4,0)</f>
        <v>450</v>
      </c>
      <c r="BJ19" s="117">
        <f t="shared" si="30"/>
        <v>0.3125</v>
      </c>
      <c r="BK19" s="120">
        <f>SUM(BI$10:BI19)</f>
        <v>3600</v>
      </c>
      <c r="BL19" s="119">
        <f>SUM(BJ$10:BJ19)</f>
        <v>2.5</v>
      </c>
      <c r="BM19" s="120">
        <f t="shared" si="31"/>
        <v>0</v>
      </c>
      <c r="BN19" s="121" t="str">
        <f t="shared" si="32"/>
        <v/>
      </c>
      <c r="BO19" s="119">
        <f t="shared" si="47"/>
        <v>0</v>
      </c>
      <c r="BP19" s="120">
        <f>SUM(BM$10:BM19)</f>
        <v>-150</v>
      </c>
      <c r="BQ19" s="121" t="str">
        <f t="shared" si="33"/>
        <v>-</v>
      </c>
      <c r="BR19" s="122">
        <f t="shared" si="34"/>
        <v>150</v>
      </c>
      <c r="BS19" s="299" t="str">
        <f>IF(SUM($BO$10:BO19)&lt;0,TEXT(ABS(SUM($BO$10:BO19)),"-[h]:mm"),SUM($BO$10:BO19))</f>
        <v>-2:30</v>
      </c>
      <c r="BT19" s="124"/>
      <c r="BU19" s="123">
        <f t="shared" si="48"/>
        <v>60</v>
      </c>
      <c r="BV19" s="123">
        <f t="shared" si="51"/>
        <v>60</v>
      </c>
      <c r="BW19" s="123">
        <f t="shared" si="35"/>
        <v>0</v>
      </c>
      <c r="BX19" s="123">
        <f t="shared" si="36"/>
        <v>0</v>
      </c>
      <c r="BY19" s="123">
        <f t="shared" si="37"/>
        <v>0</v>
      </c>
      <c r="BZ19" s="123">
        <f t="shared" si="38"/>
        <v>0</v>
      </c>
      <c r="CA19" s="123">
        <f t="shared" si="39"/>
        <v>0</v>
      </c>
      <c r="CB19" s="123">
        <f t="shared" si="40"/>
        <v>0</v>
      </c>
      <c r="CC19" s="123">
        <f t="shared" si="49"/>
        <v>0</v>
      </c>
      <c r="CD19" s="74"/>
      <c r="CE19" s="123">
        <f t="shared" si="41"/>
        <v>6</v>
      </c>
      <c r="CH19" s="295" t="s">
        <v>273</v>
      </c>
      <c r="CI19" s="15">
        <v>10</v>
      </c>
      <c r="CJ19" s="15"/>
      <c r="CK19" s="16"/>
      <c r="CL19" s="17"/>
      <c r="CM19" s="17"/>
      <c r="CN19" s="17"/>
      <c r="CO19" s="17"/>
      <c r="CP19" s="17"/>
      <c r="CQ19" s="17"/>
      <c r="CR19" s="17"/>
      <c r="CS19" s="17"/>
      <c r="CT19" s="17"/>
      <c r="CU19" s="17"/>
      <c r="CV19" s="17"/>
      <c r="CW19" s="17"/>
      <c r="CX19" s="17"/>
      <c r="CY19" s="17"/>
      <c r="CZ19" s="17"/>
      <c r="DA19" s="17"/>
      <c r="DB19" s="17"/>
      <c r="DC19" s="17"/>
      <c r="DD19" s="17"/>
      <c r="DE19" s="17"/>
      <c r="DF19" s="17"/>
    </row>
    <row r="20" spans="1:110" ht="18" customHeight="1">
      <c r="A20" s="488">
        <f t="shared" si="50"/>
        <v>43749</v>
      </c>
      <c r="B20" s="317">
        <f t="shared" si="1"/>
        <v>6</v>
      </c>
      <c r="C20" s="66"/>
      <c r="D20" s="542">
        <v>0.39583333333333331</v>
      </c>
      <c r="E20" s="301" t="s">
        <v>1</v>
      </c>
      <c r="F20" s="545">
        <v>0.75</v>
      </c>
      <c r="G20" s="456"/>
      <c r="H20" s="559"/>
      <c r="I20" s="556"/>
      <c r="J20" s="314">
        <f>IF(A20="","",'&lt;高橋敦&gt;報告. 1910'!BJ20)</f>
        <v>0.3125</v>
      </c>
      <c r="K20" s="51">
        <f>TIME(0,'&lt;高橋敦&gt;報告. 1910'!BC20,0)</f>
        <v>0.3125</v>
      </c>
      <c r="L20" s="549">
        <f>IF(A20="","",'&lt;高橋敦&gt;報告. 1910'!BE20)</f>
        <v>0.3125</v>
      </c>
      <c r="M20" s="552">
        <f>IF(A20="","",'&lt;高橋敦&gt;報告. 1910'!BH20)</f>
        <v>2.7083333333333335</v>
      </c>
      <c r="N20" s="312"/>
      <c r="O20" s="55" t="str">
        <f>IF(A20="","",'&lt;高橋敦&gt;報告. 1910'!BS20)</f>
        <v>-2:30</v>
      </c>
      <c r="P20" s="708"/>
      <c r="Q20" s="708"/>
      <c r="R20" s="709"/>
      <c r="S20" s="710"/>
      <c r="T20" s="65"/>
      <c r="U20" s="45">
        <f t="shared" si="2"/>
        <v>1</v>
      </c>
      <c r="V20" s="62" t="b">
        <f t="shared" si="42"/>
        <v>0</v>
      </c>
      <c r="W20" s="62"/>
      <c r="X20" s="110">
        <f>'&lt;高橋敦&gt;報告. 1910'!A20</f>
        <v>43749</v>
      </c>
      <c r="Y20" s="111">
        <f t="shared" si="43"/>
        <v>570</v>
      </c>
      <c r="Z20" s="111">
        <f t="shared" si="3"/>
        <v>570</v>
      </c>
      <c r="AA20" s="111">
        <f t="shared" si="44"/>
        <v>1080</v>
      </c>
      <c r="AB20" s="77">
        <f t="shared" si="4"/>
        <v>1080</v>
      </c>
      <c r="AC20" s="112">
        <f t="shared" si="5"/>
        <v>0</v>
      </c>
      <c r="AD20" s="111">
        <f t="shared" si="6"/>
        <v>570</v>
      </c>
      <c r="AE20" s="77">
        <f t="shared" si="7"/>
        <v>720</v>
      </c>
      <c r="AF20" s="113">
        <f t="shared" si="8"/>
        <v>150</v>
      </c>
      <c r="AG20" s="77">
        <f t="shared" si="9"/>
        <v>780</v>
      </c>
      <c r="AH20" s="77">
        <f t="shared" si="45"/>
        <v>1080</v>
      </c>
      <c r="AI20" s="112">
        <f t="shared" si="10"/>
        <v>300</v>
      </c>
      <c r="AJ20" s="77">
        <f t="shared" si="11"/>
        <v>1200</v>
      </c>
      <c r="AK20" s="77">
        <f t="shared" si="12"/>
        <v>1080</v>
      </c>
      <c r="AL20" s="112">
        <f t="shared" si="13"/>
        <v>0</v>
      </c>
      <c r="AM20" s="77">
        <f t="shared" si="14"/>
        <v>1500</v>
      </c>
      <c r="AN20" s="77">
        <f t="shared" si="15"/>
        <v>1080</v>
      </c>
      <c r="AO20" s="112">
        <f t="shared" si="16"/>
        <v>0</v>
      </c>
      <c r="AP20" s="77">
        <f t="shared" si="17"/>
        <v>1860</v>
      </c>
      <c r="AQ20" s="77">
        <f t="shared" si="18"/>
        <v>1080</v>
      </c>
      <c r="AR20" s="112">
        <f t="shared" si="19"/>
        <v>0</v>
      </c>
      <c r="AS20" s="77">
        <f t="shared" si="20"/>
        <v>1980</v>
      </c>
      <c r="AT20" s="77">
        <f t="shared" si="21"/>
        <v>1080</v>
      </c>
      <c r="AU20" s="112">
        <f t="shared" si="22"/>
        <v>0</v>
      </c>
      <c r="AV20" s="77">
        <f t="shared" si="23"/>
        <v>1980</v>
      </c>
      <c r="AW20" s="77">
        <f t="shared" si="24"/>
        <v>1080</v>
      </c>
      <c r="AX20" s="112">
        <f t="shared" si="25"/>
        <v>0</v>
      </c>
      <c r="AY20" s="114">
        <f>IF('&lt;高橋敦&gt;報告. 1910'!G20='&lt;高橋敦&gt;報告. 1910'!$AY$9,'&lt;高橋敦&gt;報告. 1910'!$X$4,0)</f>
        <v>0</v>
      </c>
      <c r="AZ20" s="115">
        <f>IF(ISNUMBER('&lt;高橋敦&gt;報告. 1910'!I20),'&lt;高橋敦&gt;報告. 1910'!I20,0)*24*60</f>
        <v>0</v>
      </c>
      <c r="BA20" s="115">
        <f>'&lt;高橋敦&gt;報告. 1910'!H20*24*60</f>
        <v>0</v>
      </c>
      <c r="BB20" s="115">
        <f t="shared" si="26"/>
        <v>0</v>
      </c>
      <c r="BC20" s="116">
        <f t="shared" si="27"/>
        <v>450</v>
      </c>
      <c r="BD20" s="111">
        <f t="shared" si="46"/>
        <v>450</v>
      </c>
      <c r="BE20" s="117">
        <f t="shared" si="28"/>
        <v>0.3125</v>
      </c>
      <c r="BF20" s="117">
        <f t="shared" si="29"/>
        <v>0.3125</v>
      </c>
      <c r="BG20" s="118">
        <f>SUM(BD$10:BD20)</f>
        <v>3900</v>
      </c>
      <c r="BH20" s="119">
        <f>SUM(BE$10:BE20)</f>
        <v>2.7083333333333335</v>
      </c>
      <c r="BI20" s="120">
        <f>IF('&lt;高橋敦&gt;報告. 1910'!U20=1,'&lt;高橋敦&gt;報告. 1910'!$X$4,0)</f>
        <v>450</v>
      </c>
      <c r="BJ20" s="117">
        <f t="shared" si="30"/>
        <v>0.3125</v>
      </c>
      <c r="BK20" s="120">
        <f>SUM(BI$10:BI20)</f>
        <v>4050</v>
      </c>
      <c r="BL20" s="119">
        <f>SUM(BJ$10:BJ20)</f>
        <v>2.8125</v>
      </c>
      <c r="BM20" s="120">
        <f t="shared" si="31"/>
        <v>0</v>
      </c>
      <c r="BN20" s="121" t="str">
        <f t="shared" si="32"/>
        <v/>
      </c>
      <c r="BO20" s="119">
        <f t="shared" si="47"/>
        <v>0</v>
      </c>
      <c r="BP20" s="120">
        <f>SUM(BM$10:BM20)</f>
        <v>-150</v>
      </c>
      <c r="BQ20" s="121" t="str">
        <f t="shared" si="33"/>
        <v>-</v>
      </c>
      <c r="BR20" s="122">
        <f t="shared" si="34"/>
        <v>150</v>
      </c>
      <c r="BS20" s="299" t="str">
        <f>IF(SUM($BO$10:BO20)&lt;0,TEXT(ABS(SUM($BO$10:BO20)),"-[h]:mm"),SUM($BO$10:BO20))</f>
        <v>-2:30</v>
      </c>
      <c r="BT20" s="124"/>
      <c r="BU20" s="123">
        <f t="shared" si="48"/>
        <v>60</v>
      </c>
      <c r="BV20" s="123">
        <f t="shared" si="51"/>
        <v>60</v>
      </c>
      <c r="BW20" s="123">
        <f t="shared" si="35"/>
        <v>0</v>
      </c>
      <c r="BX20" s="123">
        <f t="shared" si="36"/>
        <v>0</v>
      </c>
      <c r="BY20" s="123">
        <f t="shared" si="37"/>
        <v>0</v>
      </c>
      <c r="BZ20" s="123">
        <f t="shared" si="38"/>
        <v>0</v>
      </c>
      <c r="CA20" s="123">
        <f t="shared" si="39"/>
        <v>0</v>
      </c>
      <c r="CB20" s="123">
        <f t="shared" si="40"/>
        <v>0</v>
      </c>
      <c r="CC20" s="123">
        <f t="shared" si="49"/>
        <v>0</v>
      </c>
      <c r="CD20" s="74"/>
      <c r="CE20" s="123">
        <f t="shared" si="41"/>
        <v>6</v>
      </c>
      <c r="CH20" s="295" t="s">
        <v>274</v>
      </c>
      <c r="CI20" s="12">
        <v>11</v>
      </c>
      <c r="CJ20" s="12"/>
      <c r="CK20" s="20"/>
      <c r="CL20" s="14"/>
      <c r="CM20" s="14"/>
      <c r="CN20" s="14"/>
      <c r="CO20" s="14"/>
      <c r="CP20" s="14"/>
      <c r="CQ20" s="14"/>
      <c r="CR20" s="14"/>
      <c r="CS20" s="14"/>
      <c r="CT20" s="14"/>
      <c r="CU20" s="14"/>
      <c r="CV20" s="14"/>
      <c r="CW20" s="14"/>
      <c r="CX20" s="14"/>
      <c r="CY20" s="14"/>
      <c r="CZ20" s="14"/>
      <c r="DA20" s="14"/>
      <c r="DB20" s="14"/>
      <c r="DC20" s="14"/>
      <c r="DD20" s="14"/>
      <c r="DE20" s="14"/>
      <c r="DF20" s="14"/>
    </row>
    <row r="21" spans="1:110" ht="18" customHeight="1">
      <c r="A21" s="488">
        <f t="shared" si="50"/>
        <v>43750</v>
      </c>
      <c r="B21" s="317">
        <f t="shared" si="1"/>
        <v>7</v>
      </c>
      <c r="C21" s="66"/>
      <c r="D21" s="542"/>
      <c r="E21" s="301" t="s">
        <v>1</v>
      </c>
      <c r="F21" s="545"/>
      <c r="G21" s="456"/>
      <c r="H21" s="559"/>
      <c r="I21" s="556"/>
      <c r="J21" s="314">
        <f>IF(A21="","",'&lt;高橋敦&gt;報告. 1910'!BJ21)</f>
        <v>0</v>
      </c>
      <c r="K21" s="51">
        <f>TIME(0,'&lt;高橋敦&gt;報告. 1910'!BC21,0)</f>
        <v>0</v>
      </c>
      <c r="L21" s="549">
        <f>IF(A21="","",'&lt;高橋敦&gt;報告. 1910'!BE21)</f>
        <v>0</v>
      </c>
      <c r="M21" s="552">
        <f>IF(A21="","",'&lt;高橋敦&gt;報告. 1910'!BH21)</f>
        <v>2.7083333333333335</v>
      </c>
      <c r="N21" s="312"/>
      <c r="O21" s="55" t="str">
        <f>IF(A21="","",'&lt;高橋敦&gt;報告. 1910'!BS21)</f>
        <v>-2:30</v>
      </c>
      <c r="P21" s="708"/>
      <c r="Q21" s="708"/>
      <c r="R21" s="709"/>
      <c r="S21" s="710"/>
      <c r="T21" s="65"/>
      <c r="U21" s="45">
        <f t="shared" si="2"/>
        <v>0</v>
      </c>
      <c r="V21" s="62" t="b">
        <f>AND($H21&gt;0,$BB21=0)</f>
        <v>0</v>
      </c>
      <c r="W21" s="62"/>
      <c r="X21" s="110">
        <f>'&lt;高橋敦&gt;報告. 1910'!A21</f>
        <v>43750</v>
      </c>
      <c r="Y21" s="111">
        <f t="shared" si="43"/>
        <v>0</v>
      </c>
      <c r="Z21" s="111">
        <f t="shared" si="3"/>
        <v>0</v>
      </c>
      <c r="AA21" s="111">
        <f t="shared" si="44"/>
        <v>0</v>
      </c>
      <c r="AB21" s="77">
        <f t="shared" si="4"/>
        <v>0</v>
      </c>
      <c r="AC21" s="112">
        <f t="shared" si="5"/>
        <v>0</v>
      </c>
      <c r="AD21" s="111">
        <f t="shared" si="6"/>
        <v>0</v>
      </c>
      <c r="AE21" s="77">
        <f t="shared" si="7"/>
        <v>0</v>
      </c>
      <c r="AF21" s="113">
        <f t="shared" si="8"/>
        <v>0</v>
      </c>
      <c r="AG21" s="77">
        <f t="shared" si="9"/>
        <v>0</v>
      </c>
      <c r="AH21" s="77">
        <f t="shared" si="45"/>
        <v>0</v>
      </c>
      <c r="AI21" s="112">
        <f t="shared" si="10"/>
        <v>0</v>
      </c>
      <c r="AJ21" s="77">
        <f t="shared" si="11"/>
        <v>0</v>
      </c>
      <c r="AK21" s="77">
        <f t="shared" si="12"/>
        <v>0</v>
      </c>
      <c r="AL21" s="112">
        <f t="shared" si="13"/>
        <v>0</v>
      </c>
      <c r="AM21" s="77">
        <f t="shared" si="14"/>
        <v>0</v>
      </c>
      <c r="AN21" s="77">
        <f t="shared" si="15"/>
        <v>0</v>
      </c>
      <c r="AO21" s="112">
        <f t="shared" si="16"/>
        <v>0</v>
      </c>
      <c r="AP21" s="77">
        <f t="shared" si="17"/>
        <v>0</v>
      </c>
      <c r="AQ21" s="77">
        <f t="shared" si="18"/>
        <v>0</v>
      </c>
      <c r="AR21" s="112">
        <f t="shared" si="19"/>
        <v>0</v>
      </c>
      <c r="AS21" s="77">
        <f t="shared" si="20"/>
        <v>0</v>
      </c>
      <c r="AT21" s="77">
        <f t="shared" si="21"/>
        <v>0</v>
      </c>
      <c r="AU21" s="112">
        <f t="shared" si="22"/>
        <v>0</v>
      </c>
      <c r="AV21" s="77">
        <f t="shared" si="23"/>
        <v>0</v>
      </c>
      <c r="AW21" s="77">
        <f t="shared" si="24"/>
        <v>0</v>
      </c>
      <c r="AX21" s="112">
        <f t="shared" si="25"/>
        <v>0</v>
      </c>
      <c r="AY21" s="114">
        <f>IF('&lt;高橋敦&gt;報告. 1910'!G21='&lt;高橋敦&gt;報告. 1910'!$AY$9,'&lt;高橋敦&gt;報告. 1910'!$X$4,0)</f>
        <v>0</v>
      </c>
      <c r="AZ21" s="115">
        <f>IF(ISNUMBER('&lt;高橋敦&gt;報告. 1910'!I21),'&lt;高橋敦&gt;報告. 1910'!I21,0)*24*60</f>
        <v>0</v>
      </c>
      <c r="BA21" s="115">
        <f>'&lt;高橋敦&gt;報告. 1910'!H21*24*60</f>
        <v>0</v>
      </c>
      <c r="BB21" s="115">
        <f t="shared" si="26"/>
        <v>0</v>
      </c>
      <c r="BC21" s="116">
        <f t="shared" si="27"/>
        <v>0</v>
      </c>
      <c r="BD21" s="111">
        <f t="shared" si="46"/>
        <v>0</v>
      </c>
      <c r="BE21" s="117">
        <f t="shared" si="28"/>
        <v>0</v>
      </c>
      <c r="BF21" s="117">
        <f t="shared" si="29"/>
        <v>0</v>
      </c>
      <c r="BG21" s="118">
        <f>SUM(BD$10:BD21)</f>
        <v>3900</v>
      </c>
      <c r="BH21" s="119">
        <f>SUM(BE$10:BE21)</f>
        <v>2.7083333333333335</v>
      </c>
      <c r="BI21" s="120">
        <f>IF('&lt;高橋敦&gt;報告. 1910'!U21=1,'&lt;高橋敦&gt;報告. 1910'!$X$4,0)</f>
        <v>0</v>
      </c>
      <c r="BJ21" s="117">
        <f t="shared" si="30"/>
        <v>0</v>
      </c>
      <c r="BK21" s="120">
        <f>SUM(BI$10:BI21)</f>
        <v>4050</v>
      </c>
      <c r="BL21" s="119">
        <f>SUM(BJ$10:BJ21)</f>
        <v>2.8125</v>
      </c>
      <c r="BM21" s="120">
        <f t="shared" si="31"/>
        <v>0</v>
      </c>
      <c r="BN21" s="121" t="str">
        <f t="shared" si="32"/>
        <v/>
      </c>
      <c r="BO21" s="119">
        <f t="shared" si="47"/>
        <v>0</v>
      </c>
      <c r="BP21" s="120">
        <f>SUM(BM$10:BM21)</f>
        <v>-150</v>
      </c>
      <c r="BQ21" s="121" t="str">
        <f t="shared" si="33"/>
        <v>-</v>
      </c>
      <c r="BR21" s="122">
        <f t="shared" si="34"/>
        <v>150</v>
      </c>
      <c r="BS21" s="299" t="str">
        <f>IF(SUM($BO$10:BO21)&lt;0,TEXT(ABS(SUM($BO$10:BO21)),"-[h]:mm"),SUM($BO$10:BO21))</f>
        <v>-2:30</v>
      </c>
      <c r="BT21" s="124"/>
      <c r="BU21" s="123">
        <f t="shared" si="48"/>
        <v>0</v>
      </c>
      <c r="BV21" s="123">
        <f t="shared" si="51"/>
        <v>0</v>
      </c>
      <c r="BW21" s="123">
        <f t="shared" si="35"/>
        <v>0</v>
      </c>
      <c r="BX21" s="123">
        <f t="shared" si="36"/>
        <v>0</v>
      </c>
      <c r="BY21" s="123">
        <f t="shared" si="37"/>
        <v>0</v>
      </c>
      <c r="BZ21" s="123">
        <f t="shared" si="38"/>
        <v>0</v>
      </c>
      <c r="CA21" s="123">
        <f t="shared" si="39"/>
        <v>0</v>
      </c>
      <c r="CB21" s="123">
        <f t="shared" si="40"/>
        <v>0</v>
      </c>
      <c r="CC21" s="123">
        <f t="shared" si="49"/>
        <v>0</v>
      </c>
      <c r="CD21" s="74"/>
      <c r="CE21" s="123">
        <f t="shared" si="41"/>
        <v>0</v>
      </c>
      <c r="CH21" s="295" t="s">
        <v>275</v>
      </c>
      <c r="CI21" s="15">
        <v>12</v>
      </c>
      <c r="CJ21" s="15"/>
      <c r="CK21" s="16"/>
      <c r="CL21" s="17"/>
      <c r="CM21" s="17"/>
      <c r="CN21" s="17"/>
      <c r="CO21" s="17"/>
      <c r="CP21" s="17"/>
      <c r="CQ21" s="17"/>
      <c r="CR21" s="17"/>
      <c r="CS21" s="17"/>
      <c r="CT21" s="17"/>
      <c r="CU21" s="17"/>
      <c r="CV21" s="17"/>
      <c r="CW21" s="17"/>
      <c r="CX21" s="17"/>
      <c r="CY21" s="17"/>
      <c r="CZ21" s="17"/>
      <c r="DA21" s="17"/>
      <c r="DB21" s="17"/>
      <c r="DC21" s="17"/>
      <c r="DD21" s="17"/>
      <c r="DE21" s="17"/>
      <c r="DF21" s="17"/>
    </row>
    <row r="22" spans="1:110" ht="18" customHeight="1">
      <c r="A22" s="488">
        <f t="shared" si="50"/>
        <v>43751</v>
      </c>
      <c r="B22" s="317">
        <f t="shared" si="1"/>
        <v>1</v>
      </c>
      <c r="C22" s="66"/>
      <c r="D22" s="542"/>
      <c r="E22" s="301" t="s">
        <v>1</v>
      </c>
      <c r="F22" s="545"/>
      <c r="G22" s="456"/>
      <c r="H22" s="559"/>
      <c r="I22" s="556"/>
      <c r="J22" s="314">
        <f>IF(A22="","",'&lt;高橋敦&gt;報告. 1910'!BJ22)</f>
        <v>0</v>
      </c>
      <c r="K22" s="51">
        <f>TIME(0,'&lt;高橋敦&gt;報告. 1910'!BC22,0)</f>
        <v>0</v>
      </c>
      <c r="L22" s="549">
        <f>IF(A22="","",'&lt;高橋敦&gt;報告. 1910'!BE22)</f>
        <v>0</v>
      </c>
      <c r="M22" s="552">
        <f>IF(A22="","",'&lt;高橋敦&gt;報告. 1910'!BH22)</f>
        <v>2.7083333333333335</v>
      </c>
      <c r="N22" s="312"/>
      <c r="O22" s="55" t="str">
        <f>IF(A22="","",'&lt;高橋敦&gt;報告. 1910'!BS22)</f>
        <v>-2:30</v>
      </c>
      <c r="P22" s="708"/>
      <c r="Q22" s="708"/>
      <c r="R22" s="709"/>
      <c r="S22" s="710"/>
      <c r="T22" s="65"/>
      <c r="U22" s="45">
        <f t="shared" si="2"/>
        <v>0</v>
      </c>
      <c r="V22" s="62" t="b">
        <f t="shared" si="42"/>
        <v>0</v>
      </c>
      <c r="W22" s="62"/>
      <c r="X22" s="110">
        <f>'&lt;高橋敦&gt;報告. 1910'!A22</f>
        <v>43751</v>
      </c>
      <c r="Y22" s="111">
        <f t="shared" si="43"/>
        <v>0</v>
      </c>
      <c r="Z22" s="111">
        <f t="shared" si="3"/>
        <v>0</v>
      </c>
      <c r="AA22" s="111">
        <f t="shared" si="44"/>
        <v>0</v>
      </c>
      <c r="AB22" s="77">
        <f t="shared" si="4"/>
        <v>0</v>
      </c>
      <c r="AC22" s="112">
        <f t="shared" si="5"/>
        <v>0</v>
      </c>
      <c r="AD22" s="111">
        <f t="shared" si="6"/>
        <v>0</v>
      </c>
      <c r="AE22" s="77">
        <f t="shared" si="7"/>
        <v>0</v>
      </c>
      <c r="AF22" s="113">
        <f t="shared" si="8"/>
        <v>0</v>
      </c>
      <c r="AG22" s="77">
        <f t="shared" si="9"/>
        <v>0</v>
      </c>
      <c r="AH22" s="77">
        <f t="shared" si="45"/>
        <v>0</v>
      </c>
      <c r="AI22" s="112">
        <f t="shared" si="10"/>
        <v>0</v>
      </c>
      <c r="AJ22" s="77">
        <f t="shared" si="11"/>
        <v>0</v>
      </c>
      <c r="AK22" s="77">
        <f t="shared" si="12"/>
        <v>0</v>
      </c>
      <c r="AL22" s="112">
        <f t="shared" si="13"/>
        <v>0</v>
      </c>
      <c r="AM22" s="77">
        <f t="shared" si="14"/>
        <v>0</v>
      </c>
      <c r="AN22" s="77">
        <f t="shared" si="15"/>
        <v>0</v>
      </c>
      <c r="AO22" s="112">
        <f t="shared" si="16"/>
        <v>0</v>
      </c>
      <c r="AP22" s="77">
        <f t="shared" si="17"/>
        <v>0</v>
      </c>
      <c r="AQ22" s="77">
        <f t="shared" si="18"/>
        <v>0</v>
      </c>
      <c r="AR22" s="112">
        <f t="shared" si="19"/>
        <v>0</v>
      </c>
      <c r="AS22" s="77">
        <f t="shared" si="20"/>
        <v>0</v>
      </c>
      <c r="AT22" s="77">
        <f t="shared" si="21"/>
        <v>0</v>
      </c>
      <c r="AU22" s="112">
        <f t="shared" si="22"/>
        <v>0</v>
      </c>
      <c r="AV22" s="77">
        <f t="shared" si="23"/>
        <v>0</v>
      </c>
      <c r="AW22" s="77">
        <f t="shared" si="24"/>
        <v>0</v>
      </c>
      <c r="AX22" s="112">
        <f t="shared" si="25"/>
        <v>0</v>
      </c>
      <c r="AY22" s="114">
        <f>IF('&lt;高橋敦&gt;報告. 1910'!G22='&lt;高橋敦&gt;報告. 1910'!$AY$9,'&lt;高橋敦&gt;報告. 1910'!$X$4,0)</f>
        <v>0</v>
      </c>
      <c r="AZ22" s="115">
        <f>IF(ISNUMBER('&lt;高橋敦&gt;報告. 1910'!I22),'&lt;高橋敦&gt;報告. 1910'!I22,0)*24*60</f>
        <v>0</v>
      </c>
      <c r="BA22" s="115">
        <f>'&lt;高橋敦&gt;報告. 1910'!H22*24*60</f>
        <v>0</v>
      </c>
      <c r="BB22" s="115">
        <f t="shared" si="26"/>
        <v>0</v>
      </c>
      <c r="BC22" s="116">
        <f t="shared" si="27"/>
        <v>0</v>
      </c>
      <c r="BD22" s="111">
        <f t="shared" si="46"/>
        <v>0</v>
      </c>
      <c r="BE22" s="117">
        <f t="shared" si="28"/>
        <v>0</v>
      </c>
      <c r="BF22" s="117">
        <f t="shared" si="29"/>
        <v>0</v>
      </c>
      <c r="BG22" s="118">
        <f>SUM(BD$10:BD22)</f>
        <v>3900</v>
      </c>
      <c r="BH22" s="119">
        <f>SUM(BE$10:BE22)</f>
        <v>2.7083333333333335</v>
      </c>
      <c r="BI22" s="120">
        <f>IF('&lt;高橋敦&gt;報告. 1910'!U22=1,'&lt;高橋敦&gt;報告. 1910'!$X$4,0)</f>
        <v>0</v>
      </c>
      <c r="BJ22" s="117">
        <f t="shared" si="30"/>
        <v>0</v>
      </c>
      <c r="BK22" s="120">
        <f>SUM(BI$10:BI22)</f>
        <v>4050</v>
      </c>
      <c r="BL22" s="119">
        <f>SUM(BJ$10:BJ22)</f>
        <v>2.8125</v>
      </c>
      <c r="BM22" s="120">
        <f t="shared" si="31"/>
        <v>0</v>
      </c>
      <c r="BN22" s="121" t="str">
        <f t="shared" si="32"/>
        <v/>
      </c>
      <c r="BO22" s="119">
        <f t="shared" si="47"/>
        <v>0</v>
      </c>
      <c r="BP22" s="120">
        <f>SUM(BM$10:BM22)</f>
        <v>-150</v>
      </c>
      <c r="BQ22" s="121" t="str">
        <f t="shared" si="33"/>
        <v>-</v>
      </c>
      <c r="BR22" s="122">
        <f t="shared" si="34"/>
        <v>150</v>
      </c>
      <c r="BS22" s="299" t="str">
        <f>IF(SUM($BO$10:BO22)&lt;0,TEXT(ABS(SUM($BO$10:BO22)),"-[h]:mm"),SUM($BO$10:BO22))</f>
        <v>-2:30</v>
      </c>
      <c r="BT22" s="124"/>
      <c r="BU22" s="123">
        <f t="shared" si="48"/>
        <v>0</v>
      </c>
      <c r="BV22" s="123">
        <f t="shared" si="51"/>
        <v>0</v>
      </c>
      <c r="BW22" s="123">
        <f t="shared" si="35"/>
        <v>0</v>
      </c>
      <c r="BX22" s="123">
        <f t="shared" si="36"/>
        <v>0</v>
      </c>
      <c r="BY22" s="123">
        <f t="shared" si="37"/>
        <v>0</v>
      </c>
      <c r="BZ22" s="123">
        <f t="shared" si="38"/>
        <v>0</v>
      </c>
      <c r="CA22" s="123">
        <f t="shared" si="39"/>
        <v>0</v>
      </c>
      <c r="CB22" s="123">
        <f t="shared" si="40"/>
        <v>0</v>
      </c>
      <c r="CC22" s="123">
        <f t="shared" si="49"/>
        <v>0</v>
      </c>
      <c r="CD22" s="74"/>
      <c r="CE22" s="123">
        <f t="shared" si="41"/>
        <v>0</v>
      </c>
      <c r="CH22" s="295" t="s">
        <v>276</v>
      </c>
      <c r="CI22" s="21">
        <v>13</v>
      </c>
      <c r="CJ22" s="21"/>
      <c r="CK22" s="18"/>
      <c r="CL22" s="14"/>
      <c r="CM22" s="14"/>
      <c r="CN22" s="14"/>
      <c r="CO22" s="14"/>
      <c r="CP22" s="14"/>
      <c r="CQ22" s="14"/>
      <c r="CR22" s="14"/>
      <c r="CS22" s="14"/>
      <c r="CT22" s="14"/>
      <c r="CU22" s="14"/>
      <c r="CV22" s="14"/>
      <c r="CW22" s="14"/>
      <c r="CX22" s="14"/>
      <c r="CY22" s="14"/>
      <c r="CZ22" s="14"/>
      <c r="DA22" s="14"/>
      <c r="DB22" s="14"/>
      <c r="DC22" s="14"/>
      <c r="DD22" s="14"/>
      <c r="DE22" s="14"/>
      <c r="DF22" s="14"/>
    </row>
    <row r="23" spans="1:110" ht="18" customHeight="1">
      <c r="A23" s="488">
        <f t="shared" si="50"/>
        <v>43752</v>
      </c>
      <c r="B23" s="317">
        <f t="shared" si="1"/>
        <v>2</v>
      </c>
      <c r="C23" s="66"/>
      <c r="D23" s="542"/>
      <c r="E23" s="301" t="s">
        <v>1</v>
      </c>
      <c r="F23" s="545"/>
      <c r="G23" s="456"/>
      <c r="H23" s="559"/>
      <c r="I23" s="556"/>
      <c r="J23" s="314">
        <f>IF(A23="","",'&lt;高橋敦&gt;報告. 1910'!BJ23)</f>
        <v>0</v>
      </c>
      <c r="K23" s="51">
        <f>TIME(0,'&lt;高橋敦&gt;報告. 1910'!BC23,0)</f>
        <v>0</v>
      </c>
      <c r="L23" s="549">
        <f>IF(A23="","",'&lt;高橋敦&gt;報告. 1910'!BE23)</f>
        <v>0</v>
      </c>
      <c r="M23" s="552">
        <f>IF(A23="","",'&lt;高橋敦&gt;報告. 1910'!BH23)</f>
        <v>2.7083333333333335</v>
      </c>
      <c r="N23" s="312"/>
      <c r="O23" s="55" t="str">
        <f>IF(A23="","",'&lt;高橋敦&gt;報告. 1910'!BS23)</f>
        <v>-2:30</v>
      </c>
      <c r="P23" s="708"/>
      <c r="Q23" s="708"/>
      <c r="R23" s="709"/>
      <c r="S23" s="710"/>
      <c r="T23" s="65"/>
      <c r="U23" s="45">
        <f t="shared" si="2"/>
        <v>0</v>
      </c>
      <c r="V23" s="62" t="b">
        <f t="shared" si="42"/>
        <v>0</v>
      </c>
      <c r="W23" s="62"/>
      <c r="X23" s="110">
        <f>'&lt;高橋敦&gt;報告. 1910'!A23</f>
        <v>43752</v>
      </c>
      <c r="Y23" s="111">
        <f t="shared" si="43"/>
        <v>0</v>
      </c>
      <c r="Z23" s="111">
        <f t="shared" si="3"/>
        <v>0</v>
      </c>
      <c r="AA23" s="111">
        <f t="shared" si="44"/>
        <v>0</v>
      </c>
      <c r="AB23" s="77">
        <f t="shared" si="4"/>
        <v>0</v>
      </c>
      <c r="AC23" s="112">
        <f t="shared" si="5"/>
        <v>0</v>
      </c>
      <c r="AD23" s="111">
        <f t="shared" si="6"/>
        <v>0</v>
      </c>
      <c r="AE23" s="77">
        <f t="shared" si="7"/>
        <v>0</v>
      </c>
      <c r="AF23" s="113">
        <f t="shared" si="8"/>
        <v>0</v>
      </c>
      <c r="AG23" s="77">
        <f t="shared" si="9"/>
        <v>0</v>
      </c>
      <c r="AH23" s="77">
        <f t="shared" si="45"/>
        <v>0</v>
      </c>
      <c r="AI23" s="112">
        <f t="shared" si="10"/>
        <v>0</v>
      </c>
      <c r="AJ23" s="77">
        <f t="shared" si="11"/>
        <v>0</v>
      </c>
      <c r="AK23" s="77">
        <f t="shared" si="12"/>
        <v>0</v>
      </c>
      <c r="AL23" s="112">
        <f t="shared" si="13"/>
        <v>0</v>
      </c>
      <c r="AM23" s="77">
        <f t="shared" si="14"/>
        <v>0</v>
      </c>
      <c r="AN23" s="77">
        <f t="shared" si="15"/>
        <v>0</v>
      </c>
      <c r="AO23" s="112">
        <f t="shared" si="16"/>
        <v>0</v>
      </c>
      <c r="AP23" s="77">
        <f t="shared" si="17"/>
        <v>0</v>
      </c>
      <c r="AQ23" s="77">
        <f t="shared" si="18"/>
        <v>0</v>
      </c>
      <c r="AR23" s="112">
        <f t="shared" si="19"/>
        <v>0</v>
      </c>
      <c r="AS23" s="77">
        <f t="shared" si="20"/>
        <v>0</v>
      </c>
      <c r="AT23" s="77">
        <f t="shared" si="21"/>
        <v>0</v>
      </c>
      <c r="AU23" s="112">
        <f t="shared" si="22"/>
        <v>0</v>
      </c>
      <c r="AV23" s="77">
        <f t="shared" si="23"/>
        <v>0</v>
      </c>
      <c r="AW23" s="77">
        <f t="shared" si="24"/>
        <v>0</v>
      </c>
      <c r="AX23" s="112">
        <f t="shared" si="25"/>
        <v>0</v>
      </c>
      <c r="AY23" s="114">
        <f>IF('&lt;高橋敦&gt;報告. 1910'!G23='&lt;高橋敦&gt;報告. 1910'!$AY$9,'&lt;高橋敦&gt;報告. 1910'!$X$4,0)</f>
        <v>0</v>
      </c>
      <c r="AZ23" s="115">
        <f>IF(ISNUMBER('&lt;高橋敦&gt;報告. 1910'!I23),'&lt;高橋敦&gt;報告. 1910'!I23,0)*24*60</f>
        <v>0</v>
      </c>
      <c r="BA23" s="115">
        <f>'&lt;高橋敦&gt;報告. 1910'!H23*24*60</f>
        <v>0</v>
      </c>
      <c r="BB23" s="115">
        <f t="shared" si="26"/>
        <v>0</v>
      </c>
      <c r="BC23" s="116">
        <f t="shared" si="27"/>
        <v>0</v>
      </c>
      <c r="BD23" s="111">
        <f t="shared" si="46"/>
        <v>0</v>
      </c>
      <c r="BE23" s="117">
        <f t="shared" si="28"/>
        <v>0</v>
      </c>
      <c r="BF23" s="117">
        <f t="shared" si="29"/>
        <v>0</v>
      </c>
      <c r="BG23" s="118">
        <f>SUM(BD$10:BD23)</f>
        <v>3900</v>
      </c>
      <c r="BH23" s="119">
        <f>SUM(BE$10:BE23)</f>
        <v>2.7083333333333335</v>
      </c>
      <c r="BI23" s="120">
        <f>IF('&lt;高橋敦&gt;報告. 1910'!U23=1,'&lt;高橋敦&gt;報告. 1910'!$X$4,0)</f>
        <v>0</v>
      </c>
      <c r="BJ23" s="117">
        <f t="shared" si="30"/>
        <v>0</v>
      </c>
      <c r="BK23" s="120">
        <f>SUM(BI$10:BI23)</f>
        <v>4050</v>
      </c>
      <c r="BL23" s="119">
        <f>SUM(BJ$10:BJ23)</f>
        <v>2.8125</v>
      </c>
      <c r="BM23" s="120">
        <f t="shared" si="31"/>
        <v>0</v>
      </c>
      <c r="BN23" s="121" t="str">
        <f t="shared" si="32"/>
        <v/>
      </c>
      <c r="BO23" s="119">
        <f t="shared" si="47"/>
        <v>0</v>
      </c>
      <c r="BP23" s="120">
        <f>SUM(BM$10:BM23)</f>
        <v>-150</v>
      </c>
      <c r="BQ23" s="121" t="str">
        <f t="shared" si="33"/>
        <v>-</v>
      </c>
      <c r="BR23" s="122">
        <f t="shared" si="34"/>
        <v>150</v>
      </c>
      <c r="BS23" s="299" t="str">
        <f>IF(SUM($BO$10:BO23)&lt;0,TEXT(ABS(SUM($BO$10:BO23)),"-[h]:mm"),SUM($BO$10:BO23))</f>
        <v>-2:30</v>
      </c>
      <c r="BT23" s="124"/>
      <c r="BU23" s="123">
        <f t="shared" si="48"/>
        <v>0</v>
      </c>
      <c r="BV23" s="123">
        <f t="shared" si="51"/>
        <v>0</v>
      </c>
      <c r="BW23" s="123">
        <f t="shared" si="35"/>
        <v>0</v>
      </c>
      <c r="BX23" s="123">
        <f t="shared" si="36"/>
        <v>0</v>
      </c>
      <c r="BY23" s="123">
        <f t="shared" si="37"/>
        <v>0</v>
      </c>
      <c r="BZ23" s="123">
        <f t="shared" si="38"/>
        <v>0</v>
      </c>
      <c r="CA23" s="123">
        <f t="shared" si="39"/>
        <v>0</v>
      </c>
      <c r="CB23" s="123">
        <f t="shared" si="40"/>
        <v>0</v>
      </c>
      <c r="CC23" s="123">
        <f t="shared" si="49"/>
        <v>0</v>
      </c>
      <c r="CD23" s="74"/>
      <c r="CE23" s="123">
        <f t="shared" si="41"/>
        <v>0</v>
      </c>
      <c r="CH23" s="295" t="s">
        <v>277</v>
      </c>
      <c r="CI23" s="22">
        <v>14</v>
      </c>
      <c r="CJ23" s="22"/>
      <c r="CK23" s="19"/>
      <c r="CL23" s="17"/>
      <c r="CM23" s="17"/>
      <c r="CN23" s="17"/>
      <c r="CO23" s="17"/>
      <c r="CP23" s="17"/>
      <c r="CQ23" s="17"/>
      <c r="CR23" s="17"/>
      <c r="CS23" s="17"/>
      <c r="CT23" s="17"/>
      <c r="CU23" s="17"/>
      <c r="CV23" s="17"/>
      <c r="CW23" s="17"/>
      <c r="CX23" s="17"/>
      <c r="CY23" s="17"/>
      <c r="CZ23" s="17"/>
      <c r="DA23" s="17"/>
      <c r="DB23" s="17"/>
      <c r="DC23" s="17"/>
      <c r="DD23" s="17"/>
      <c r="DE23" s="17"/>
      <c r="DF23" s="17"/>
    </row>
    <row r="24" spans="1:110" ht="18" customHeight="1">
      <c r="A24" s="488">
        <f t="shared" si="50"/>
        <v>43753</v>
      </c>
      <c r="B24" s="317">
        <f t="shared" si="1"/>
        <v>3</v>
      </c>
      <c r="C24" s="66"/>
      <c r="D24" s="542">
        <v>0.39583333333333331</v>
      </c>
      <c r="E24" s="301" t="s">
        <v>1</v>
      </c>
      <c r="F24" s="545">
        <v>0.75</v>
      </c>
      <c r="G24" s="456"/>
      <c r="H24" s="559"/>
      <c r="I24" s="556"/>
      <c r="J24" s="314">
        <f>IF(A24="","",'&lt;高橋敦&gt;報告. 1910'!BJ24)</f>
        <v>0.3125</v>
      </c>
      <c r="K24" s="51">
        <f>TIME(0,'&lt;高橋敦&gt;報告. 1910'!BC24,0)</f>
        <v>0.3125</v>
      </c>
      <c r="L24" s="549">
        <f>IF(A24="","",'&lt;高橋敦&gt;報告. 1910'!BE24)</f>
        <v>0.3125</v>
      </c>
      <c r="M24" s="552">
        <f>IF(A24="","",'&lt;高橋敦&gt;報告. 1910'!BH24)</f>
        <v>3.0208333333333335</v>
      </c>
      <c r="N24" s="312"/>
      <c r="O24" s="55" t="str">
        <f>IF(A24="","",'&lt;高橋敦&gt;報告. 1910'!BS24)</f>
        <v>-2:30</v>
      </c>
      <c r="P24" s="708"/>
      <c r="Q24" s="708"/>
      <c r="R24" s="709"/>
      <c r="S24" s="710"/>
      <c r="T24" s="65"/>
      <c r="U24" s="45">
        <f t="shared" si="2"/>
        <v>1</v>
      </c>
      <c r="V24" s="62" t="b">
        <f t="shared" si="42"/>
        <v>0</v>
      </c>
      <c r="W24" s="62"/>
      <c r="X24" s="110">
        <f>'&lt;高橋敦&gt;報告. 1910'!A24</f>
        <v>43753</v>
      </c>
      <c r="Y24" s="111">
        <f t="shared" si="43"/>
        <v>570</v>
      </c>
      <c r="Z24" s="111">
        <f t="shared" si="3"/>
        <v>570</v>
      </c>
      <c r="AA24" s="111">
        <f t="shared" si="44"/>
        <v>1080</v>
      </c>
      <c r="AB24" s="77">
        <f t="shared" si="4"/>
        <v>1080</v>
      </c>
      <c r="AC24" s="112">
        <f t="shared" si="5"/>
        <v>0</v>
      </c>
      <c r="AD24" s="111">
        <f t="shared" si="6"/>
        <v>570</v>
      </c>
      <c r="AE24" s="77">
        <f t="shared" si="7"/>
        <v>720</v>
      </c>
      <c r="AF24" s="113">
        <f t="shared" si="8"/>
        <v>150</v>
      </c>
      <c r="AG24" s="77">
        <f t="shared" si="9"/>
        <v>780</v>
      </c>
      <c r="AH24" s="77">
        <f t="shared" si="45"/>
        <v>1080</v>
      </c>
      <c r="AI24" s="112">
        <f t="shared" si="10"/>
        <v>300</v>
      </c>
      <c r="AJ24" s="77">
        <f t="shared" si="11"/>
        <v>1200</v>
      </c>
      <c r="AK24" s="77">
        <f t="shared" si="12"/>
        <v>1080</v>
      </c>
      <c r="AL24" s="112">
        <f t="shared" si="13"/>
        <v>0</v>
      </c>
      <c r="AM24" s="77">
        <f t="shared" si="14"/>
        <v>1500</v>
      </c>
      <c r="AN24" s="77">
        <f t="shared" si="15"/>
        <v>1080</v>
      </c>
      <c r="AO24" s="112">
        <f t="shared" si="16"/>
        <v>0</v>
      </c>
      <c r="AP24" s="77">
        <f t="shared" si="17"/>
        <v>1860</v>
      </c>
      <c r="AQ24" s="77">
        <f t="shared" si="18"/>
        <v>1080</v>
      </c>
      <c r="AR24" s="112">
        <f t="shared" si="19"/>
        <v>0</v>
      </c>
      <c r="AS24" s="77">
        <f t="shared" si="20"/>
        <v>1980</v>
      </c>
      <c r="AT24" s="77">
        <f t="shared" si="21"/>
        <v>1080</v>
      </c>
      <c r="AU24" s="112">
        <f t="shared" si="22"/>
        <v>0</v>
      </c>
      <c r="AV24" s="77">
        <f t="shared" si="23"/>
        <v>1980</v>
      </c>
      <c r="AW24" s="77">
        <f t="shared" si="24"/>
        <v>1080</v>
      </c>
      <c r="AX24" s="112">
        <f t="shared" si="25"/>
        <v>0</v>
      </c>
      <c r="AY24" s="114">
        <f>IF('&lt;高橋敦&gt;報告. 1910'!G24='&lt;高橋敦&gt;報告. 1910'!$AY$9,'&lt;高橋敦&gt;報告. 1910'!$X$4,0)</f>
        <v>0</v>
      </c>
      <c r="AZ24" s="115">
        <f>IF(ISNUMBER('&lt;高橋敦&gt;報告. 1910'!I24),'&lt;高橋敦&gt;報告. 1910'!I24,0)*24*60</f>
        <v>0</v>
      </c>
      <c r="BA24" s="115">
        <f>'&lt;高橋敦&gt;報告. 1910'!H24*24*60</f>
        <v>0</v>
      </c>
      <c r="BB24" s="115">
        <f t="shared" si="26"/>
        <v>0</v>
      </c>
      <c r="BC24" s="116">
        <f t="shared" si="27"/>
        <v>450</v>
      </c>
      <c r="BD24" s="111">
        <f t="shared" si="46"/>
        <v>450</v>
      </c>
      <c r="BE24" s="117">
        <f t="shared" si="28"/>
        <v>0.3125</v>
      </c>
      <c r="BF24" s="117">
        <f t="shared" si="29"/>
        <v>0.3125</v>
      </c>
      <c r="BG24" s="118">
        <f>SUM(BD$10:BD24)</f>
        <v>4350</v>
      </c>
      <c r="BH24" s="119">
        <f>SUM(BE$10:BE24)</f>
        <v>3.0208333333333335</v>
      </c>
      <c r="BI24" s="120">
        <f>IF('&lt;高橋敦&gt;報告. 1910'!U24=1,'&lt;高橋敦&gt;報告. 1910'!$X$4,0)</f>
        <v>450</v>
      </c>
      <c r="BJ24" s="117">
        <f t="shared" si="30"/>
        <v>0.3125</v>
      </c>
      <c r="BK24" s="120">
        <f>SUM(BI$10:BI24)</f>
        <v>4500</v>
      </c>
      <c r="BL24" s="119">
        <f>SUM(BJ$10:BJ24)</f>
        <v>3.125</v>
      </c>
      <c r="BM24" s="120">
        <f t="shared" si="31"/>
        <v>0</v>
      </c>
      <c r="BN24" s="121" t="str">
        <f t="shared" si="32"/>
        <v/>
      </c>
      <c r="BO24" s="119">
        <f t="shared" si="47"/>
        <v>0</v>
      </c>
      <c r="BP24" s="120">
        <f>SUM(BM$10:BM24)</f>
        <v>-150</v>
      </c>
      <c r="BQ24" s="121" t="str">
        <f t="shared" si="33"/>
        <v>-</v>
      </c>
      <c r="BR24" s="122">
        <f t="shared" si="34"/>
        <v>150</v>
      </c>
      <c r="BS24" s="299" t="str">
        <f>IF(SUM($BO$10:BO24)&lt;0,TEXT(ABS(SUM($BO$10:BO24)),"-[h]:mm"),SUM($BO$10:BO24))</f>
        <v>-2:30</v>
      </c>
      <c r="BT24" s="124"/>
      <c r="BU24" s="123">
        <f t="shared" si="48"/>
        <v>60</v>
      </c>
      <c r="BV24" s="123">
        <f t="shared" si="51"/>
        <v>60</v>
      </c>
      <c r="BW24" s="123">
        <f t="shared" si="35"/>
        <v>0</v>
      </c>
      <c r="BX24" s="123">
        <f t="shared" si="36"/>
        <v>0</v>
      </c>
      <c r="BY24" s="123">
        <f t="shared" si="37"/>
        <v>0</v>
      </c>
      <c r="BZ24" s="123">
        <f t="shared" si="38"/>
        <v>0</v>
      </c>
      <c r="CA24" s="123">
        <f t="shared" si="39"/>
        <v>0</v>
      </c>
      <c r="CB24" s="123">
        <f t="shared" si="40"/>
        <v>0</v>
      </c>
      <c r="CC24" s="123">
        <f t="shared" si="49"/>
        <v>0</v>
      </c>
      <c r="CD24" s="74"/>
      <c r="CE24" s="123">
        <f t="shared" si="41"/>
        <v>6</v>
      </c>
      <c r="CH24" s="295" t="s">
        <v>278</v>
      </c>
      <c r="CI24" s="21">
        <v>15</v>
      </c>
      <c r="CJ24" s="21"/>
      <c r="CK24" s="18"/>
      <c r="CL24" s="14"/>
      <c r="CM24" s="14"/>
      <c r="CN24" s="14"/>
      <c r="CO24" s="14"/>
      <c r="CP24" s="14"/>
      <c r="CQ24" s="14"/>
      <c r="CR24" s="14"/>
      <c r="CS24" s="14"/>
      <c r="CT24" s="14"/>
      <c r="CU24" s="14"/>
      <c r="CV24" s="14"/>
      <c r="CW24" s="14"/>
      <c r="CX24" s="14"/>
      <c r="CY24" s="14"/>
      <c r="CZ24" s="14"/>
      <c r="DA24" s="14"/>
      <c r="DB24" s="14"/>
      <c r="DC24" s="14"/>
      <c r="DD24" s="14"/>
      <c r="DE24" s="14"/>
      <c r="DF24" s="14"/>
    </row>
    <row r="25" spans="1:110" ht="18" customHeight="1">
      <c r="A25" s="488">
        <f t="shared" si="50"/>
        <v>43754</v>
      </c>
      <c r="B25" s="317">
        <f t="shared" si="1"/>
        <v>4</v>
      </c>
      <c r="C25" s="66"/>
      <c r="D25" s="542">
        <v>0.39583333333333331</v>
      </c>
      <c r="E25" s="301" t="s">
        <v>1</v>
      </c>
      <c r="F25" s="545">
        <v>0.75</v>
      </c>
      <c r="G25" s="456"/>
      <c r="H25" s="559"/>
      <c r="I25" s="556"/>
      <c r="J25" s="314">
        <f>IF(A25="","",'&lt;高橋敦&gt;報告. 1910'!BJ25)</f>
        <v>0.3125</v>
      </c>
      <c r="K25" s="51">
        <f>TIME(0,'&lt;高橋敦&gt;報告. 1910'!BC25,0)</f>
        <v>0.3125</v>
      </c>
      <c r="L25" s="549">
        <f>IF(A25="","",'&lt;高橋敦&gt;報告. 1910'!BE25)</f>
        <v>0.3125</v>
      </c>
      <c r="M25" s="552">
        <f>IF(A25="","",'&lt;高橋敦&gt;報告. 1910'!BH25)</f>
        <v>3.3333333333333335</v>
      </c>
      <c r="N25" s="312"/>
      <c r="O25" s="55" t="str">
        <f>IF(A25="","",'&lt;高橋敦&gt;報告. 1910'!BS25)</f>
        <v>-2:30</v>
      </c>
      <c r="P25" s="708"/>
      <c r="Q25" s="708"/>
      <c r="R25" s="709"/>
      <c r="S25" s="710"/>
      <c r="T25" s="65"/>
      <c r="U25" s="45">
        <f t="shared" si="2"/>
        <v>1</v>
      </c>
      <c r="V25" s="62" t="b">
        <f t="shared" si="42"/>
        <v>0</v>
      </c>
      <c r="W25" s="62"/>
      <c r="X25" s="110">
        <f>'&lt;高橋敦&gt;報告. 1910'!A25</f>
        <v>43754</v>
      </c>
      <c r="Y25" s="111">
        <f t="shared" si="43"/>
        <v>570</v>
      </c>
      <c r="Z25" s="111">
        <f t="shared" si="3"/>
        <v>570</v>
      </c>
      <c r="AA25" s="111">
        <f t="shared" si="44"/>
        <v>1080</v>
      </c>
      <c r="AB25" s="77">
        <f t="shared" si="4"/>
        <v>1080</v>
      </c>
      <c r="AC25" s="112">
        <f t="shared" si="5"/>
        <v>0</v>
      </c>
      <c r="AD25" s="111">
        <f t="shared" si="6"/>
        <v>570</v>
      </c>
      <c r="AE25" s="77">
        <f t="shared" si="7"/>
        <v>720</v>
      </c>
      <c r="AF25" s="113">
        <f t="shared" si="8"/>
        <v>150</v>
      </c>
      <c r="AG25" s="77">
        <f t="shared" si="9"/>
        <v>780</v>
      </c>
      <c r="AH25" s="77">
        <f t="shared" si="45"/>
        <v>1080</v>
      </c>
      <c r="AI25" s="112">
        <f t="shared" si="10"/>
        <v>300</v>
      </c>
      <c r="AJ25" s="77">
        <f t="shared" si="11"/>
        <v>1200</v>
      </c>
      <c r="AK25" s="77">
        <f t="shared" si="12"/>
        <v>1080</v>
      </c>
      <c r="AL25" s="112">
        <f t="shared" si="13"/>
        <v>0</v>
      </c>
      <c r="AM25" s="77">
        <f t="shared" si="14"/>
        <v>1500</v>
      </c>
      <c r="AN25" s="77">
        <f t="shared" si="15"/>
        <v>1080</v>
      </c>
      <c r="AO25" s="112">
        <f t="shared" si="16"/>
        <v>0</v>
      </c>
      <c r="AP25" s="77">
        <f t="shared" si="17"/>
        <v>1860</v>
      </c>
      <c r="AQ25" s="77">
        <f t="shared" si="18"/>
        <v>1080</v>
      </c>
      <c r="AR25" s="112">
        <f t="shared" si="19"/>
        <v>0</v>
      </c>
      <c r="AS25" s="77">
        <f t="shared" si="20"/>
        <v>1980</v>
      </c>
      <c r="AT25" s="77">
        <f t="shared" si="21"/>
        <v>1080</v>
      </c>
      <c r="AU25" s="112">
        <f t="shared" si="22"/>
        <v>0</v>
      </c>
      <c r="AV25" s="77">
        <f t="shared" si="23"/>
        <v>1980</v>
      </c>
      <c r="AW25" s="77">
        <f t="shared" si="24"/>
        <v>1080</v>
      </c>
      <c r="AX25" s="112">
        <f t="shared" si="25"/>
        <v>0</v>
      </c>
      <c r="AY25" s="114">
        <f>IF('&lt;高橋敦&gt;報告. 1910'!G25='&lt;高橋敦&gt;報告. 1910'!$AY$9,'&lt;高橋敦&gt;報告. 1910'!$X$4,0)</f>
        <v>0</v>
      </c>
      <c r="AZ25" s="115">
        <f>IF(ISNUMBER('&lt;高橋敦&gt;報告. 1910'!I25),'&lt;高橋敦&gt;報告. 1910'!I25,0)*24*60</f>
        <v>0</v>
      </c>
      <c r="BA25" s="115">
        <f>'&lt;高橋敦&gt;報告. 1910'!H25*24*60</f>
        <v>0</v>
      </c>
      <c r="BB25" s="115">
        <f t="shared" si="26"/>
        <v>0</v>
      </c>
      <c r="BC25" s="116">
        <f t="shared" si="27"/>
        <v>450</v>
      </c>
      <c r="BD25" s="111">
        <f t="shared" si="46"/>
        <v>450</v>
      </c>
      <c r="BE25" s="117">
        <f t="shared" si="28"/>
        <v>0.3125</v>
      </c>
      <c r="BF25" s="117">
        <f t="shared" si="29"/>
        <v>0.3125</v>
      </c>
      <c r="BG25" s="118">
        <f>SUM(BD$10:BD25)</f>
        <v>4800</v>
      </c>
      <c r="BH25" s="119">
        <f>SUM(BE$10:BE25)</f>
        <v>3.3333333333333335</v>
      </c>
      <c r="BI25" s="120">
        <f>IF('&lt;高橋敦&gt;報告. 1910'!U25=1,'&lt;高橋敦&gt;報告. 1910'!$X$4,0)</f>
        <v>450</v>
      </c>
      <c r="BJ25" s="117">
        <f t="shared" si="30"/>
        <v>0.3125</v>
      </c>
      <c r="BK25" s="120">
        <f>SUM(BI$10:BI25)</f>
        <v>4950</v>
      </c>
      <c r="BL25" s="119">
        <f>SUM(BJ$10:BJ25)</f>
        <v>3.4375</v>
      </c>
      <c r="BM25" s="120">
        <f t="shared" si="31"/>
        <v>0</v>
      </c>
      <c r="BN25" s="121" t="str">
        <f t="shared" si="32"/>
        <v/>
      </c>
      <c r="BO25" s="119">
        <f t="shared" si="47"/>
        <v>0</v>
      </c>
      <c r="BP25" s="120">
        <f>SUM(BM$10:BM25)</f>
        <v>-150</v>
      </c>
      <c r="BQ25" s="121" t="str">
        <f t="shared" si="33"/>
        <v>-</v>
      </c>
      <c r="BR25" s="122">
        <f t="shared" si="34"/>
        <v>150</v>
      </c>
      <c r="BS25" s="299" t="str">
        <f>IF(SUM($BO$10:BO25)&lt;0,TEXT(ABS(SUM($BO$10:BO25)),"-[h]:mm"),SUM($BO$10:BO25))</f>
        <v>-2:30</v>
      </c>
      <c r="BT25" s="124"/>
      <c r="BU25" s="123">
        <f t="shared" si="48"/>
        <v>60</v>
      </c>
      <c r="BV25" s="123">
        <f t="shared" si="51"/>
        <v>60</v>
      </c>
      <c r="BW25" s="123">
        <f t="shared" si="35"/>
        <v>0</v>
      </c>
      <c r="BX25" s="123">
        <f t="shared" si="36"/>
        <v>0</v>
      </c>
      <c r="BY25" s="123">
        <f t="shared" si="37"/>
        <v>0</v>
      </c>
      <c r="BZ25" s="123">
        <f t="shared" si="38"/>
        <v>0</v>
      </c>
      <c r="CA25" s="123">
        <f t="shared" si="39"/>
        <v>0</v>
      </c>
      <c r="CB25" s="123">
        <f t="shared" si="40"/>
        <v>0</v>
      </c>
      <c r="CC25" s="123">
        <f t="shared" si="49"/>
        <v>0</v>
      </c>
      <c r="CD25" s="74"/>
      <c r="CE25" s="123">
        <f t="shared" si="41"/>
        <v>6</v>
      </c>
      <c r="CH25" s="295" t="s">
        <v>279</v>
      </c>
      <c r="CI25" s="22">
        <v>16</v>
      </c>
      <c r="CJ25" s="22"/>
      <c r="CK25" s="19"/>
      <c r="CL25" s="17"/>
      <c r="CM25" s="17"/>
      <c r="CN25" s="17"/>
      <c r="CO25" s="17"/>
      <c r="CP25" s="17"/>
      <c r="CQ25" s="17"/>
      <c r="CR25" s="17"/>
      <c r="CS25" s="17"/>
      <c r="CT25" s="17"/>
      <c r="CU25" s="17"/>
      <c r="CV25" s="17"/>
      <c r="CW25" s="17"/>
      <c r="CX25" s="17"/>
      <c r="CY25" s="17"/>
      <c r="CZ25" s="17"/>
      <c r="DA25" s="17"/>
      <c r="DB25" s="17"/>
      <c r="DC25" s="17"/>
      <c r="DD25" s="17"/>
      <c r="DE25" s="17"/>
      <c r="DF25" s="17"/>
    </row>
    <row r="26" spans="1:110" ht="18" customHeight="1">
      <c r="A26" s="488">
        <f t="shared" si="50"/>
        <v>43755</v>
      </c>
      <c r="B26" s="317">
        <f t="shared" si="1"/>
        <v>5</v>
      </c>
      <c r="C26" s="66"/>
      <c r="D26" s="542">
        <v>0.39583333333333331</v>
      </c>
      <c r="E26" s="301" t="s">
        <v>1</v>
      </c>
      <c r="F26" s="545">
        <v>0.75</v>
      </c>
      <c r="G26" s="456"/>
      <c r="H26" s="559"/>
      <c r="I26" s="556"/>
      <c r="J26" s="314">
        <f>IF(A26="","",'&lt;高橋敦&gt;報告. 1910'!BJ26)</f>
        <v>0.3125</v>
      </c>
      <c r="K26" s="51">
        <f>TIME(0,'&lt;高橋敦&gt;報告. 1910'!BC26,0)</f>
        <v>0.3125</v>
      </c>
      <c r="L26" s="549">
        <f>IF(A26="","",'&lt;高橋敦&gt;報告. 1910'!BE26)</f>
        <v>0.3125</v>
      </c>
      <c r="M26" s="552">
        <f>IF(A26="","",'&lt;高橋敦&gt;報告. 1910'!BH26)</f>
        <v>3.6458333333333335</v>
      </c>
      <c r="N26" s="312"/>
      <c r="O26" s="55" t="str">
        <f>IF(A26="","",'&lt;高橋敦&gt;報告. 1910'!BS26)</f>
        <v>-2:30</v>
      </c>
      <c r="P26" s="708"/>
      <c r="Q26" s="708"/>
      <c r="R26" s="709"/>
      <c r="S26" s="710"/>
      <c r="T26" s="65"/>
      <c r="U26" s="45">
        <f t="shared" si="2"/>
        <v>1</v>
      </c>
      <c r="V26" s="62" t="b">
        <f t="shared" si="42"/>
        <v>0</v>
      </c>
      <c r="W26" s="62"/>
      <c r="X26" s="110">
        <f>'&lt;高橋敦&gt;報告. 1910'!A26</f>
        <v>43755</v>
      </c>
      <c r="Y26" s="111">
        <f t="shared" si="43"/>
        <v>570</v>
      </c>
      <c r="Z26" s="111">
        <f t="shared" si="3"/>
        <v>570</v>
      </c>
      <c r="AA26" s="111">
        <f t="shared" si="44"/>
        <v>1080</v>
      </c>
      <c r="AB26" s="77">
        <f t="shared" si="4"/>
        <v>1080</v>
      </c>
      <c r="AC26" s="112">
        <f t="shared" si="5"/>
        <v>0</v>
      </c>
      <c r="AD26" s="111">
        <f t="shared" si="6"/>
        <v>570</v>
      </c>
      <c r="AE26" s="77">
        <f t="shared" si="7"/>
        <v>720</v>
      </c>
      <c r="AF26" s="113">
        <f t="shared" si="8"/>
        <v>150</v>
      </c>
      <c r="AG26" s="77">
        <f t="shared" si="9"/>
        <v>780</v>
      </c>
      <c r="AH26" s="77">
        <f t="shared" si="45"/>
        <v>1080</v>
      </c>
      <c r="AI26" s="112">
        <f t="shared" si="10"/>
        <v>300</v>
      </c>
      <c r="AJ26" s="77">
        <f t="shared" si="11"/>
        <v>1200</v>
      </c>
      <c r="AK26" s="77">
        <f t="shared" si="12"/>
        <v>1080</v>
      </c>
      <c r="AL26" s="112">
        <f t="shared" si="13"/>
        <v>0</v>
      </c>
      <c r="AM26" s="77">
        <f t="shared" si="14"/>
        <v>1500</v>
      </c>
      <c r="AN26" s="77">
        <f t="shared" si="15"/>
        <v>1080</v>
      </c>
      <c r="AO26" s="112">
        <f t="shared" si="16"/>
        <v>0</v>
      </c>
      <c r="AP26" s="77">
        <f t="shared" si="17"/>
        <v>1860</v>
      </c>
      <c r="AQ26" s="77">
        <f t="shared" si="18"/>
        <v>1080</v>
      </c>
      <c r="AR26" s="112">
        <f t="shared" si="19"/>
        <v>0</v>
      </c>
      <c r="AS26" s="77">
        <f t="shared" si="20"/>
        <v>1980</v>
      </c>
      <c r="AT26" s="77">
        <f t="shared" si="21"/>
        <v>1080</v>
      </c>
      <c r="AU26" s="112">
        <f t="shared" si="22"/>
        <v>0</v>
      </c>
      <c r="AV26" s="77">
        <f t="shared" si="23"/>
        <v>1980</v>
      </c>
      <c r="AW26" s="77">
        <f t="shared" si="24"/>
        <v>1080</v>
      </c>
      <c r="AX26" s="112">
        <f t="shared" si="25"/>
        <v>0</v>
      </c>
      <c r="AY26" s="114">
        <f>IF('&lt;高橋敦&gt;報告. 1910'!G26='&lt;高橋敦&gt;報告. 1910'!$AY$9,'&lt;高橋敦&gt;報告. 1910'!$X$4,0)</f>
        <v>0</v>
      </c>
      <c r="AZ26" s="115">
        <f>IF(ISNUMBER('&lt;高橋敦&gt;報告. 1910'!I26),'&lt;高橋敦&gt;報告. 1910'!I26,0)*24*60</f>
        <v>0</v>
      </c>
      <c r="BA26" s="115">
        <f>'&lt;高橋敦&gt;報告. 1910'!H26*24*60</f>
        <v>0</v>
      </c>
      <c r="BB26" s="115">
        <f t="shared" si="26"/>
        <v>0</v>
      </c>
      <c r="BC26" s="116">
        <f t="shared" si="27"/>
        <v>450</v>
      </c>
      <c r="BD26" s="111">
        <f t="shared" si="46"/>
        <v>450</v>
      </c>
      <c r="BE26" s="117">
        <f t="shared" si="28"/>
        <v>0.3125</v>
      </c>
      <c r="BF26" s="117">
        <f t="shared" si="29"/>
        <v>0.3125</v>
      </c>
      <c r="BG26" s="118">
        <f>SUM(BD$10:BD26)</f>
        <v>5250</v>
      </c>
      <c r="BH26" s="119">
        <f>SUM(BE$10:BE26)</f>
        <v>3.6458333333333335</v>
      </c>
      <c r="BI26" s="120">
        <f>IF('&lt;高橋敦&gt;報告. 1910'!U26=1,'&lt;高橋敦&gt;報告. 1910'!$X$4,0)</f>
        <v>450</v>
      </c>
      <c r="BJ26" s="117">
        <f t="shared" si="30"/>
        <v>0.3125</v>
      </c>
      <c r="BK26" s="120">
        <f>SUM(BI$10:BI26)</f>
        <v>5400</v>
      </c>
      <c r="BL26" s="119">
        <f>SUM(BJ$10:BJ26)</f>
        <v>3.75</v>
      </c>
      <c r="BM26" s="120">
        <f t="shared" si="31"/>
        <v>0</v>
      </c>
      <c r="BN26" s="121" t="str">
        <f t="shared" si="32"/>
        <v/>
      </c>
      <c r="BO26" s="119">
        <f t="shared" si="47"/>
        <v>0</v>
      </c>
      <c r="BP26" s="120">
        <f>SUM(BM$10:BM26)</f>
        <v>-150</v>
      </c>
      <c r="BQ26" s="121" t="str">
        <f t="shared" si="33"/>
        <v>-</v>
      </c>
      <c r="BR26" s="122">
        <f t="shared" si="34"/>
        <v>150</v>
      </c>
      <c r="BS26" s="299" t="str">
        <f>IF(SUM($BO$10:BO26)&lt;0,TEXT(ABS(SUM($BO$10:BO26)),"-[h]:mm"),SUM($BO$10:BO26))</f>
        <v>-2:30</v>
      </c>
      <c r="BT26" s="124"/>
      <c r="BU26" s="123">
        <f t="shared" si="48"/>
        <v>60</v>
      </c>
      <c r="BV26" s="123">
        <f t="shared" si="51"/>
        <v>60</v>
      </c>
      <c r="BW26" s="123">
        <f t="shared" si="35"/>
        <v>0</v>
      </c>
      <c r="BX26" s="123">
        <f t="shared" si="36"/>
        <v>0</v>
      </c>
      <c r="BY26" s="123">
        <f t="shared" si="37"/>
        <v>0</v>
      </c>
      <c r="BZ26" s="123">
        <f t="shared" si="38"/>
        <v>0</v>
      </c>
      <c r="CA26" s="123">
        <f t="shared" si="39"/>
        <v>0</v>
      </c>
      <c r="CB26" s="123">
        <f t="shared" si="40"/>
        <v>0</v>
      </c>
      <c r="CC26" s="123">
        <f t="shared" si="49"/>
        <v>0</v>
      </c>
      <c r="CD26" s="74"/>
      <c r="CE26" s="123">
        <f t="shared" si="41"/>
        <v>6</v>
      </c>
      <c r="CH26" s="295" t="s">
        <v>280</v>
      </c>
      <c r="CI26" s="21">
        <v>17</v>
      </c>
      <c r="CJ26" s="21"/>
      <c r="CK26" s="18"/>
      <c r="CL26" s="14"/>
      <c r="CM26" s="14"/>
      <c r="CN26" s="14"/>
      <c r="CO26" s="14"/>
      <c r="CP26" s="14"/>
      <c r="CQ26" s="14"/>
      <c r="CR26" s="14"/>
      <c r="CS26" s="14"/>
      <c r="CT26" s="14"/>
      <c r="CU26" s="14"/>
      <c r="CV26" s="14"/>
      <c r="CW26" s="14"/>
      <c r="CX26" s="14"/>
      <c r="CY26" s="14"/>
      <c r="CZ26" s="14"/>
      <c r="DA26" s="14"/>
      <c r="DB26" s="14"/>
      <c r="DC26" s="14"/>
      <c r="DD26" s="14"/>
      <c r="DE26" s="14"/>
      <c r="DF26" s="14"/>
    </row>
    <row r="27" spans="1:110" ht="18" customHeight="1">
      <c r="A27" s="488">
        <f t="shared" si="50"/>
        <v>43756</v>
      </c>
      <c r="B27" s="317">
        <f t="shared" si="1"/>
        <v>6</v>
      </c>
      <c r="C27" s="66"/>
      <c r="D27" s="542">
        <v>0.52083333333333337</v>
      </c>
      <c r="E27" s="301" t="s">
        <v>1</v>
      </c>
      <c r="F27" s="545">
        <v>0.72916666666666663</v>
      </c>
      <c r="G27" s="456"/>
      <c r="H27" s="559"/>
      <c r="I27" s="556"/>
      <c r="J27" s="314">
        <f>IF(A27="","",'&lt;高橋敦&gt;報告. 1910'!BJ27)</f>
        <v>0.3125</v>
      </c>
      <c r="K27" s="51">
        <f>TIME(0,'&lt;高橋敦&gt;報告. 1910'!BC27,0)</f>
        <v>0.1875</v>
      </c>
      <c r="L27" s="549">
        <f>IF(A27="","",'&lt;高橋敦&gt;報告. 1910'!BE27)</f>
        <v>0.1875</v>
      </c>
      <c r="M27" s="552">
        <f>IF(A27="","",'&lt;高橋敦&gt;報告. 1910'!BH27)</f>
        <v>3.8333333333333335</v>
      </c>
      <c r="N27" s="312"/>
      <c r="O27" s="55" t="str">
        <f>IF(A27="","",'&lt;高橋敦&gt;報告. 1910'!BS27)</f>
        <v>-5:30</v>
      </c>
      <c r="P27" s="708"/>
      <c r="Q27" s="708"/>
      <c r="R27" s="709"/>
      <c r="S27" s="710"/>
      <c r="T27" s="65"/>
      <c r="U27" s="45">
        <f t="shared" si="2"/>
        <v>1</v>
      </c>
      <c r="V27" s="62" t="b">
        <f t="shared" si="42"/>
        <v>0</v>
      </c>
      <c r="W27" s="62"/>
      <c r="X27" s="110">
        <f>'&lt;高橋敦&gt;報告. 1910'!A27</f>
        <v>43756</v>
      </c>
      <c r="Y27" s="111">
        <f t="shared" si="43"/>
        <v>750</v>
      </c>
      <c r="Z27" s="111">
        <f t="shared" si="3"/>
        <v>750</v>
      </c>
      <c r="AA27" s="111">
        <f t="shared" si="44"/>
        <v>1050</v>
      </c>
      <c r="AB27" s="77">
        <f t="shared" si="4"/>
        <v>1050</v>
      </c>
      <c r="AC27" s="112">
        <f t="shared" si="5"/>
        <v>0</v>
      </c>
      <c r="AD27" s="111">
        <f t="shared" si="6"/>
        <v>750</v>
      </c>
      <c r="AE27" s="77">
        <f t="shared" si="7"/>
        <v>720</v>
      </c>
      <c r="AF27" s="113">
        <f t="shared" si="8"/>
        <v>0</v>
      </c>
      <c r="AG27" s="77">
        <f t="shared" si="9"/>
        <v>780</v>
      </c>
      <c r="AH27" s="77">
        <f t="shared" si="45"/>
        <v>1050</v>
      </c>
      <c r="AI27" s="112">
        <f t="shared" si="10"/>
        <v>270</v>
      </c>
      <c r="AJ27" s="77">
        <f t="shared" si="11"/>
        <v>1200</v>
      </c>
      <c r="AK27" s="77">
        <f t="shared" si="12"/>
        <v>1050</v>
      </c>
      <c r="AL27" s="112">
        <f t="shared" si="13"/>
        <v>0</v>
      </c>
      <c r="AM27" s="77">
        <f t="shared" si="14"/>
        <v>1500</v>
      </c>
      <c r="AN27" s="77">
        <f t="shared" si="15"/>
        <v>1050</v>
      </c>
      <c r="AO27" s="112">
        <f t="shared" si="16"/>
        <v>0</v>
      </c>
      <c r="AP27" s="77">
        <f t="shared" si="17"/>
        <v>1860</v>
      </c>
      <c r="AQ27" s="77">
        <f t="shared" si="18"/>
        <v>1050</v>
      </c>
      <c r="AR27" s="112">
        <f t="shared" si="19"/>
        <v>0</v>
      </c>
      <c r="AS27" s="77">
        <f t="shared" si="20"/>
        <v>1980</v>
      </c>
      <c r="AT27" s="77">
        <f t="shared" si="21"/>
        <v>1050</v>
      </c>
      <c r="AU27" s="112">
        <f t="shared" si="22"/>
        <v>0</v>
      </c>
      <c r="AV27" s="77">
        <f t="shared" si="23"/>
        <v>1980</v>
      </c>
      <c r="AW27" s="77">
        <f t="shared" si="24"/>
        <v>1050</v>
      </c>
      <c r="AX27" s="112">
        <f t="shared" si="25"/>
        <v>0</v>
      </c>
      <c r="AY27" s="114">
        <f>IF('&lt;高橋敦&gt;報告. 1910'!G27='&lt;高橋敦&gt;報告. 1910'!$AY$9,'&lt;高橋敦&gt;報告. 1910'!$X$4,0)</f>
        <v>0</v>
      </c>
      <c r="AZ27" s="115">
        <f>IF(ISNUMBER('&lt;高橋敦&gt;報告. 1910'!I27),'&lt;高橋敦&gt;報告. 1910'!I27,0)*24*60</f>
        <v>0</v>
      </c>
      <c r="BA27" s="115">
        <f>'&lt;高橋敦&gt;報告. 1910'!H27*24*60</f>
        <v>0</v>
      </c>
      <c r="BB27" s="115">
        <f t="shared" si="26"/>
        <v>0</v>
      </c>
      <c r="BC27" s="116">
        <f t="shared" si="27"/>
        <v>270</v>
      </c>
      <c r="BD27" s="111">
        <f t="shared" si="46"/>
        <v>270</v>
      </c>
      <c r="BE27" s="117">
        <f t="shared" si="28"/>
        <v>0.1875</v>
      </c>
      <c r="BF27" s="117">
        <f t="shared" si="29"/>
        <v>0.1875</v>
      </c>
      <c r="BG27" s="118">
        <f>SUM(BD$10:BD27)</f>
        <v>5520</v>
      </c>
      <c r="BH27" s="119">
        <f>SUM(BE$10:BE27)</f>
        <v>3.8333333333333335</v>
      </c>
      <c r="BI27" s="120">
        <f>IF('&lt;高橋敦&gt;報告. 1910'!U27=1,'&lt;高橋敦&gt;報告. 1910'!$X$4,0)</f>
        <v>450</v>
      </c>
      <c r="BJ27" s="117">
        <f t="shared" si="30"/>
        <v>0.3125</v>
      </c>
      <c r="BK27" s="120">
        <f>SUM(BI$10:BI27)</f>
        <v>5850</v>
      </c>
      <c r="BL27" s="119">
        <f>SUM(BJ$10:BJ27)</f>
        <v>4.0625</v>
      </c>
      <c r="BM27" s="120">
        <f t="shared" si="31"/>
        <v>-180</v>
      </c>
      <c r="BN27" s="121" t="str">
        <f t="shared" si="32"/>
        <v>-</v>
      </c>
      <c r="BO27" s="119">
        <f t="shared" si="47"/>
        <v>-0.125</v>
      </c>
      <c r="BP27" s="120">
        <f>SUM(BM$10:BM27)</f>
        <v>-330</v>
      </c>
      <c r="BQ27" s="121" t="str">
        <f t="shared" si="33"/>
        <v>-</v>
      </c>
      <c r="BR27" s="122">
        <f t="shared" si="34"/>
        <v>330</v>
      </c>
      <c r="BS27" s="299" t="str">
        <f>IF(SUM($BO$10:BO27)&lt;0,TEXT(ABS(SUM($BO$10:BO27)),"-[h]:mm"),SUM($BO$10:BO27))</f>
        <v>-5:30</v>
      </c>
      <c r="BT27" s="124"/>
      <c r="BU27" s="123">
        <f t="shared" si="48"/>
        <v>30</v>
      </c>
      <c r="BV27" s="123">
        <f t="shared" si="51"/>
        <v>30</v>
      </c>
      <c r="BW27" s="123">
        <f t="shared" si="35"/>
        <v>0</v>
      </c>
      <c r="BX27" s="123">
        <f t="shared" si="36"/>
        <v>0</v>
      </c>
      <c r="BY27" s="123">
        <f t="shared" si="37"/>
        <v>0</v>
      </c>
      <c r="BZ27" s="123">
        <f t="shared" si="38"/>
        <v>0</v>
      </c>
      <c r="CA27" s="123">
        <f t="shared" si="39"/>
        <v>0</v>
      </c>
      <c r="CB27" s="123">
        <f t="shared" si="40"/>
        <v>0</v>
      </c>
      <c r="CC27" s="123">
        <f t="shared" si="49"/>
        <v>0</v>
      </c>
      <c r="CD27" s="74"/>
      <c r="CE27" s="123">
        <f t="shared" si="41"/>
        <v>0</v>
      </c>
      <c r="CH27" s="295" t="s">
        <v>281</v>
      </c>
      <c r="CI27" s="22">
        <v>18</v>
      </c>
      <c r="CJ27" s="22"/>
      <c r="CK27" s="16"/>
      <c r="CL27" s="17"/>
      <c r="CM27" s="17"/>
      <c r="CN27" s="17"/>
      <c r="CO27" s="17"/>
      <c r="CP27" s="17"/>
      <c r="CQ27" s="17"/>
      <c r="CR27" s="17"/>
      <c r="CS27" s="17"/>
      <c r="CT27" s="17"/>
      <c r="CU27" s="17"/>
      <c r="CV27" s="17"/>
      <c r="CW27" s="17"/>
      <c r="CX27" s="17"/>
      <c r="CY27" s="17"/>
      <c r="CZ27" s="17"/>
      <c r="DA27" s="17"/>
      <c r="DB27" s="17"/>
      <c r="DC27" s="17"/>
      <c r="DD27" s="17"/>
      <c r="DE27" s="17"/>
      <c r="DF27" s="17"/>
    </row>
    <row r="28" spans="1:110" ht="18" customHeight="1">
      <c r="A28" s="488">
        <f t="shared" si="50"/>
        <v>43757</v>
      </c>
      <c r="B28" s="317">
        <f t="shared" si="1"/>
        <v>7</v>
      </c>
      <c r="C28" s="66"/>
      <c r="D28" s="542"/>
      <c r="E28" s="301" t="s">
        <v>1</v>
      </c>
      <c r="F28" s="546"/>
      <c r="G28" s="456"/>
      <c r="H28" s="559"/>
      <c r="I28" s="556"/>
      <c r="J28" s="314">
        <f>IF(A28="","",'&lt;高橋敦&gt;報告. 1910'!BJ28)</f>
        <v>0</v>
      </c>
      <c r="K28" s="51">
        <f>TIME(0,'&lt;高橋敦&gt;報告. 1910'!BC28,0)</f>
        <v>0</v>
      </c>
      <c r="L28" s="549">
        <f>IF(A28="","",'&lt;高橋敦&gt;報告. 1910'!BE28)</f>
        <v>0</v>
      </c>
      <c r="M28" s="552">
        <f>IF(A28="","",'&lt;高橋敦&gt;報告. 1910'!BH28)</f>
        <v>3.8333333333333335</v>
      </c>
      <c r="N28" s="312"/>
      <c r="O28" s="55" t="str">
        <f>IF(A28="","",'&lt;高橋敦&gt;報告. 1910'!BS28)</f>
        <v>-5:30</v>
      </c>
      <c r="P28" s="708"/>
      <c r="Q28" s="708"/>
      <c r="R28" s="709"/>
      <c r="S28" s="710"/>
      <c r="T28" s="65"/>
      <c r="U28" s="45">
        <f t="shared" si="2"/>
        <v>0</v>
      </c>
      <c r="V28" s="62" t="b">
        <f t="shared" si="42"/>
        <v>0</v>
      </c>
      <c r="W28" s="62"/>
      <c r="X28" s="110">
        <f>'&lt;高橋敦&gt;報告. 1910'!A28</f>
        <v>43757</v>
      </c>
      <c r="Y28" s="111">
        <f t="shared" si="43"/>
        <v>0</v>
      </c>
      <c r="Z28" s="111">
        <f t="shared" si="3"/>
        <v>0</v>
      </c>
      <c r="AA28" s="111">
        <f t="shared" si="44"/>
        <v>0</v>
      </c>
      <c r="AB28" s="77">
        <f t="shared" si="4"/>
        <v>0</v>
      </c>
      <c r="AC28" s="112">
        <f t="shared" si="5"/>
        <v>0</v>
      </c>
      <c r="AD28" s="111">
        <f t="shared" si="6"/>
        <v>0</v>
      </c>
      <c r="AE28" s="77">
        <f t="shared" si="7"/>
        <v>0</v>
      </c>
      <c r="AF28" s="113">
        <f t="shared" si="8"/>
        <v>0</v>
      </c>
      <c r="AG28" s="77">
        <f t="shared" si="9"/>
        <v>0</v>
      </c>
      <c r="AH28" s="77">
        <f t="shared" si="45"/>
        <v>0</v>
      </c>
      <c r="AI28" s="112">
        <f t="shared" si="10"/>
        <v>0</v>
      </c>
      <c r="AJ28" s="77">
        <f t="shared" si="11"/>
        <v>0</v>
      </c>
      <c r="AK28" s="77">
        <f t="shared" si="12"/>
        <v>0</v>
      </c>
      <c r="AL28" s="112">
        <f t="shared" si="13"/>
        <v>0</v>
      </c>
      <c r="AM28" s="77">
        <f t="shared" si="14"/>
        <v>0</v>
      </c>
      <c r="AN28" s="77">
        <f t="shared" si="15"/>
        <v>0</v>
      </c>
      <c r="AO28" s="112">
        <f t="shared" si="16"/>
        <v>0</v>
      </c>
      <c r="AP28" s="77">
        <f t="shared" si="17"/>
        <v>0</v>
      </c>
      <c r="AQ28" s="77">
        <f t="shared" si="18"/>
        <v>0</v>
      </c>
      <c r="AR28" s="112">
        <f t="shared" si="19"/>
        <v>0</v>
      </c>
      <c r="AS28" s="77">
        <f t="shared" si="20"/>
        <v>0</v>
      </c>
      <c r="AT28" s="77">
        <f t="shared" si="21"/>
        <v>0</v>
      </c>
      <c r="AU28" s="112">
        <f t="shared" si="22"/>
        <v>0</v>
      </c>
      <c r="AV28" s="77">
        <f t="shared" si="23"/>
        <v>0</v>
      </c>
      <c r="AW28" s="77">
        <f t="shared" si="24"/>
        <v>0</v>
      </c>
      <c r="AX28" s="112">
        <f t="shared" si="25"/>
        <v>0</v>
      </c>
      <c r="AY28" s="114">
        <f>IF('&lt;高橋敦&gt;報告. 1910'!G28='&lt;高橋敦&gt;報告. 1910'!$AY$9,'&lt;高橋敦&gt;報告. 1910'!$X$4,0)</f>
        <v>0</v>
      </c>
      <c r="AZ28" s="115">
        <f>IF(ISNUMBER('&lt;高橋敦&gt;報告. 1910'!I28),'&lt;高橋敦&gt;報告. 1910'!I28,0)*24*60</f>
        <v>0</v>
      </c>
      <c r="BA28" s="115">
        <f>'&lt;高橋敦&gt;報告. 1910'!H28*24*60</f>
        <v>0</v>
      </c>
      <c r="BB28" s="115">
        <f t="shared" si="26"/>
        <v>0</v>
      </c>
      <c r="BC28" s="116">
        <f t="shared" si="27"/>
        <v>0</v>
      </c>
      <c r="BD28" s="111">
        <f t="shared" si="46"/>
        <v>0</v>
      </c>
      <c r="BE28" s="117">
        <f t="shared" si="28"/>
        <v>0</v>
      </c>
      <c r="BF28" s="117">
        <f t="shared" si="29"/>
        <v>0</v>
      </c>
      <c r="BG28" s="118">
        <f>SUM(BD$10:BD28)</f>
        <v>5520</v>
      </c>
      <c r="BH28" s="119">
        <f>SUM(BE$10:BE28)</f>
        <v>3.8333333333333335</v>
      </c>
      <c r="BI28" s="120">
        <f>IF('&lt;高橋敦&gt;報告. 1910'!U28=1,'&lt;高橋敦&gt;報告. 1910'!$X$4,0)</f>
        <v>0</v>
      </c>
      <c r="BJ28" s="117">
        <f t="shared" si="30"/>
        <v>0</v>
      </c>
      <c r="BK28" s="120">
        <f>SUM(BI$10:BI28)</f>
        <v>5850</v>
      </c>
      <c r="BL28" s="119">
        <f>SUM(BJ$10:BJ28)</f>
        <v>4.0625</v>
      </c>
      <c r="BM28" s="120">
        <f t="shared" si="31"/>
        <v>0</v>
      </c>
      <c r="BN28" s="121" t="str">
        <f t="shared" si="32"/>
        <v/>
      </c>
      <c r="BO28" s="119">
        <f t="shared" si="47"/>
        <v>0</v>
      </c>
      <c r="BP28" s="120">
        <f>SUM(BM$10:BM28)</f>
        <v>-330</v>
      </c>
      <c r="BQ28" s="121" t="str">
        <f t="shared" si="33"/>
        <v>-</v>
      </c>
      <c r="BR28" s="122">
        <f t="shared" si="34"/>
        <v>330</v>
      </c>
      <c r="BS28" s="299" t="str">
        <f>IF(SUM($BO$10:BO28)&lt;0,TEXT(ABS(SUM($BO$10:BO28)),"-[h]:mm"),SUM($BO$10:BO28))</f>
        <v>-5:30</v>
      </c>
      <c r="BT28" s="124"/>
      <c r="BU28" s="123">
        <f t="shared" si="48"/>
        <v>0</v>
      </c>
      <c r="BV28" s="123">
        <f t="shared" si="51"/>
        <v>0</v>
      </c>
      <c r="BW28" s="123">
        <f t="shared" si="35"/>
        <v>0</v>
      </c>
      <c r="BX28" s="123">
        <f t="shared" si="36"/>
        <v>0</v>
      </c>
      <c r="BY28" s="123">
        <f t="shared" si="37"/>
        <v>0</v>
      </c>
      <c r="BZ28" s="123">
        <f t="shared" si="38"/>
        <v>0</v>
      </c>
      <c r="CA28" s="123">
        <f t="shared" si="39"/>
        <v>0</v>
      </c>
      <c r="CB28" s="123">
        <f t="shared" si="40"/>
        <v>0</v>
      </c>
      <c r="CC28" s="123">
        <f t="shared" si="49"/>
        <v>0</v>
      </c>
      <c r="CD28" s="74"/>
      <c r="CE28" s="123">
        <f t="shared" si="41"/>
        <v>0</v>
      </c>
      <c r="CH28" s="295" t="s">
        <v>282</v>
      </c>
      <c r="CI28" s="21">
        <v>19</v>
      </c>
      <c r="CJ28" s="21"/>
      <c r="CK28" s="13"/>
      <c r="CL28" s="23"/>
      <c r="CM28" s="14"/>
      <c r="CN28" s="23"/>
      <c r="CO28" s="23"/>
      <c r="CP28" s="23"/>
      <c r="CQ28" s="23"/>
      <c r="CR28" s="23"/>
      <c r="CS28" s="14"/>
      <c r="CT28" s="14"/>
      <c r="CU28" s="14"/>
      <c r="CV28" s="14"/>
      <c r="CW28" s="14"/>
      <c r="CX28" s="14"/>
      <c r="CY28" s="14"/>
      <c r="CZ28" s="14"/>
      <c r="DA28" s="14"/>
      <c r="DB28" s="14"/>
      <c r="DC28" s="14"/>
      <c r="DD28" s="14"/>
      <c r="DE28" s="14"/>
      <c r="DF28" s="14"/>
    </row>
    <row r="29" spans="1:110" ht="18" customHeight="1">
      <c r="A29" s="488">
        <f t="shared" si="50"/>
        <v>43758</v>
      </c>
      <c r="B29" s="317">
        <f t="shared" si="1"/>
        <v>1</v>
      </c>
      <c r="C29" s="66"/>
      <c r="D29" s="542"/>
      <c r="E29" s="469" t="str">
        <f t="shared" ref="E29:E39" si="52">IF(A29="","","～")</f>
        <v>～</v>
      </c>
      <c r="F29" s="545"/>
      <c r="G29" s="456"/>
      <c r="H29" s="559"/>
      <c r="I29" s="556"/>
      <c r="J29" s="314">
        <f>IF(A29="","",'&lt;高橋敦&gt;報告. 1910'!BJ29)</f>
        <v>0</v>
      </c>
      <c r="K29" s="51">
        <f>TIME(0,'&lt;高橋敦&gt;報告. 1910'!BC29,0)</f>
        <v>0</v>
      </c>
      <c r="L29" s="549">
        <f>IF(A29="","",'&lt;高橋敦&gt;報告. 1910'!BE29)</f>
        <v>0</v>
      </c>
      <c r="M29" s="552">
        <f>IF(A29="","",'&lt;高橋敦&gt;報告. 1910'!BH29)</f>
        <v>3.8333333333333335</v>
      </c>
      <c r="N29" s="312"/>
      <c r="O29" s="55" t="str">
        <f>IF(A29="","",'&lt;高橋敦&gt;報告. 1910'!BS29)</f>
        <v>-5:30</v>
      </c>
      <c r="P29" s="708"/>
      <c r="Q29" s="708"/>
      <c r="R29" s="709"/>
      <c r="S29" s="710"/>
      <c r="T29" s="65"/>
      <c r="U29" s="45">
        <f t="shared" si="2"/>
        <v>0</v>
      </c>
      <c r="V29" s="62" t="b">
        <f t="shared" si="42"/>
        <v>0</v>
      </c>
      <c r="W29" s="62"/>
      <c r="X29" s="110">
        <f>'&lt;高橋敦&gt;報告. 1910'!A29</f>
        <v>43758</v>
      </c>
      <c r="Y29" s="111">
        <f t="shared" si="43"/>
        <v>0</v>
      </c>
      <c r="Z29" s="111">
        <f t="shared" si="3"/>
        <v>0</v>
      </c>
      <c r="AA29" s="111">
        <f t="shared" si="44"/>
        <v>0</v>
      </c>
      <c r="AB29" s="77">
        <f t="shared" si="4"/>
        <v>0</v>
      </c>
      <c r="AC29" s="112">
        <f t="shared" si="5"/>
        <v>0</v>
      </c>
      <c r="AD29" s="111">
        <f t="shared" si="6"/>
        <v>0</v>
      </c>
      <c r="AE29" s="77">
        <f t="shared" si="7"/>
        <v>0</v>
      </c>
      <c r="AF29" s="113">
        <f t="shared" si="8"/>
        <v>0</v>
      </c>
      <c r="AG29" s="77">
        <f t="shared" si="9"/>
        <v>0</v>
      </c>
      <c r="AH29" s="77">
        <f t="shared" si="45"/>
        <v>0</v>
      </c>
      <c r="AI29" s="112">
        <f t="shared" si="10"/>
        <v>0</v>
      </c>
      <c r="AJ29" s="77">
        <f t="shared" si="11"/>
        <v>0</v>
      </c>
      <c r="AK29" s="77">
        <f t="shared" si="12"/>
        <v>0</v>
      </c>
      <c r="AL29" s="112">
        <f t="shared" si="13"/>
        <v>0</v>
      </c>
      <c r="AM29" s="77">
        <f t="shared" si="14"/>
        <v>0</v>
      </c>
      <c r="AN29" s="77">
        <f t="shared" si="15"/>
        <v>0</v>
      </c>
      <c r="AO29" s="112">
        <f t="shared" si="16"/>
        <v>0</v>
      </c>
      <c r="AP29" s="77">
        <f t="shared" si="17"/>
        <v>0</v>
      </c>
      <c r="AQ29" s="77">
        <f t="shared" si="18"/>
        <v>0</v>
      </c>
      <c r="AR29" s="112">
        <f t="shared" si="19"/>
        <v>0</v>
      </c>
      <c r="AS29" s="77">
        <f t="shared" si="20"/>
        <v>0</v>
      </c>
      <c r="AT29" s="77">
        <f t="shared" si="21"/>
        <v>0</v>
      </c>
      <c r="AU29" s="112">
        <f t="shared" si="22"/>
        <v>0</v>
      </c>
      <c r="AV29" s="77">
        <f t="shared" si="23"/>
        <v>0</v>
      </c>
      <c r="AW29" s="77">
        <f t="shared" si="24"/>
        <v>0</v>
      </c>
      <c r="AX29" s="112">
        <f t="shared" si="25"/>
        <v>0</v>
      </c>
      <c r="AY29" s="114">
        <f>IF('&lt;高橋敦&gt;報告. 1910'!G29='&lt;高橋敦&gt;報告. 1910'!$AY$9,'&lt;高橋敦&gt;報告. 1910'!$X$4,0)</f>
        <v>0</v>
      </c>
      <c r="AZ29" s="115">
        <f>IF(ISNUMBER('&lt;高橋敦&gt;報告. 1910'!I29),'&lt;高橋敦&gt;報告. 1910'!I29,0)*24*60</f>
        <v>0</v>
      </c>
      <c r="BA29" s="115">
        <f>'&lt;高橋敦&gt;報告. 1910'!H29*24*60</f>
        <v>0</v>
      </c>
      <c r="BB29" s="115">
        <f t="shared" si="26"/>
        <v>0</v>
      </c>
      <c r="BC29" s="116">
        <f t="shared" si="27"/>
        <v>0</v>
      </c>
      <c r="BD29" s="111">
        <f t="shared" si="46"/>
        <v>0</v>
      </c>
      <c r="BE29" s="117">
        <f t="shared" si="28"/>
        <v>0</v>
      </c>
      <c r="BF29" s="117">
        <f t="shared" si="29"/>
        <v>0</v>
      </c>
      <c r="BG29" s="118">
        <f>SUM(BD$10:BD29)</f>
        <v>5520</v>
      </c>
      <c r="BH29" s="119">
        <f>SUM(BE$10:BE29)</f>
        <v>3.8333333333333335</v>
      </c>
      <c r="BI29" s="120">
        <f>IF('&lt;高橋敦&gt;報告. 1910'!U29=1,'&lt;高橋敦&gt;報告. 1910'!$X$4,0)</f>
        <v>0</v>
      </c>
      <c r="BJ29" s="117">
        <f t="shared" si="30"/>
        <v>0</v>
      </c>
      <c r="BK29" s="120">
        <f>SUM(BI$10:BI29)</f>
        <v>5850</v>
      </c>
      <c r="BL29" s="119">
        <f>SUM(BJ$10:BJ29)</f>
        <v>4.0625</v>
      </c>
      <c r="BM29" s="120">
        <f t="shared" si="31"/>
        <v>0</v>
      </c>
      <c r="BN29" s="121" t="str">
        <f t="shared" si="32"/>
        <v/>
      </c>
      <c r="BO29" s="119">
        <f t="shared" si="47"/>
        <v>0</v>
      </c>
      <c r="BP29" s="120">
        <f>SUM(BM$10:BM29)</f>
        <v>-330</v>
      </c>
      <c r="BQ29" s="121" t="str">
        <f t="shared" si="33"/>
        <v>-</v>
      </c>
      <c r="BR29" s="122">
        <f t="shared" si="34"/>
        <v>330</v>
      </c>
      <c r="BS29" s="299" t="str">
        <f>IF(SUM($BO$10:BO29)&lt;0,TEXT(ABS(SUM($BO$10:BO29)),"-[h]:mm"),SUM($BO$10:BO29))</f>
        <v>-5:30</v>
      </c>
      <c r="BT29" s="124"/>
      <c r="BU29" s="123">
        <f t="shared" si="48"/>
        <v>0</v>
      </c>
      <c r="BV29" s="123">
        <f t="shared" si="51"/>
        <v>0</v>
      </c>
      <c r="BW29" s="123">
        <f t="shared" si="35"/>
        <v>0</v>
      </c>
      <c r="BX29" s="123">
        <f t="shared" si="36"/>
        <v>0</v>
      </c>
      <c r="BY29" s="123">
        <f t="shared" si="37"/>
        <v>0</v>
      </c>
      <c r="BZ29" s="123">
        <f t="shared" si="38"/>
        <v>0</v>
      </c>
      <c r="CA29" s="123">
        <f t="shared" si="39"/>
        <v>0</v>
      </c>
      <c r="CB29" s="123">
        <f t="shared" si="40"/>
        <v>0</v>
      </c>
      <c r="CC29" s="123">
        <f t="shared" si="49"/>
        <v>0</v>
      </c>
      <c r="CD29" s="74"/>
      <c r="CE29" s="123">
        <f t="shared" si="41"/>
        <v>0</v>
      </c>
      <c r="CH29" s="295" t="s">
        <v>283</v>
      </c>
      <c r="CI29" s="22">
        <v>20</v>
      </c>
      <c r="CJ29" s="22"/>
      <c r="CK29" s="16"/>
      <c r="CL29" s="24"/>
      <c r="CM29" s="17"/>
      <c r="CN29" s="24"/>
      <c r="CO29" s="24"/>
      <c r="CP29" s="24"/>
      <c r="CQ29" s="24"/>
      <c r="CR29" s="24"/>
      <c r="CS29" s="17"/>
      <c r="CT29" s="17"/>
      <c r="CU29" s="17"/>
      <c r="CV29" s="17"/>
      <c r="CW29" s="17"/>
      <c r="CX29" s="17"/>
      <c r="CY29" s="17"/>
      <c r="CZ29" s="17"/>
      <c r="DA29" s="17"/>
      <c r="DB29" s="17"/>
      <c r="DC29" s="17"/>
      <c r="DD29" s="17"/>
      <c r="DE29" s="17"/>
      <c r="DF29" s="17"/>
    </row>
    <row r="30" spans="1:110" ht="18" customHeight="1">
      <c r="A30" s="488">
        <f t="shared" si="50"/>
        <v>43759</v>
      </c>
      <c r="B30" s="317">
        <f t="shared" si="1"/>
        <v>2</v>
      </c>
      <c r="C30" s="66"/>
      <c r="D30" s="542"/>
      <c r="E30" s="469" t="str">
        <f t="shared" si="52"/>
        <v>～</v>
      </c>
      <c r="F30" s="545"/>
      <c r="G30" s="456" t="s">
        <v>652</v>
      </c>
      <c r="H30" s="559"/>
      <c r="I30" s="556"/>
      <c r="J30" s="314">
        <f>IF(A30="","",'&lt;高橋敦&gt;報告. 1910'!BJ30)</f>
        <v>0.3125</v>
      </c>
      <c r="K30" s="51">
        <f>TIME(0,'&lt;高橋敦&gt;報告. 1910'!BC30,0)</f>
        <v>0</v>
      </c>
      <c r="L30" s="549">
        <f>IF(A30="","",'&lt;高橋敦&gt;報告. 1910'!BE30)</f>
        <v>0</v>
      </c>
      <c r="M30" s="552">
        <f>IF(A30="","",'&lt;高橋敦&gt;報告. 1910'!BH30)</f>
        <v>3.8333333333333335</v>
      </c>
      <c r="N30" s="312"/>
      <c r="O30" s="55" t="str">
        <f>IF(A30="","",'&lt;高橋敦&gt;報告. 1910'!BS30)</f>
        <v>-13:00</v>
      </c>
      <c r="P30" s="708"/>
      <c r="Q30" s="708"/>
      <c r="R30" s="709"/>
      <c r="S30" s="710"/>
      <c r="T30" s="65"/>
      <c r="U30" s="45">
        <f t="shared" si="2"/>
        <v>1</v>
      </c>
      <c r="V30" s="62" t="b">
        <f t="shared" si="42"/>
        <v>0</v>
      </c>
      <c r="W30" s="62"/>
      <c r="X30" s="110">
        <f>'&lt;高橋敦&gt;報告. 1910'!A30</f>
        <v>43759</v>
      </c>
      <c r="Y30" s="111">
        <f t="shared" si="43"/>
        <v>0</v>
      </c>
      <c r="Z30" s="111">
        <f t="shared" si="3"/>
        <v>0</v>
      </c>
      <c r="AA30" s="111">
        <f t="shared" si="44"/>
        <v>0</v>
      </c>
      <c r="AB30" s="77">
        <f t="shared" si="4"/>
        <v>0</v>
      </c>
      <c r="AC30" s="112">
        <f t="shared" si="5"/>
        <v>0</v>
      </c>
      <c r="AD30" s="111">
        <f t="shared" si="6"/>
        <v>0</v>
      </c>
      <c r="AE30" s="77">
        <f t="shared" si="7"/>
        <v>0</v>
      </c>
      <c r="AF30" s="113">
        <f t="shared" si="8"/>
        <v>0</v>
      </c>
      <c r="AG30" s="77">
        <f t="shared" si="9"/>
        <v>0</v>
      </c>
      <c r="AH30" s="77">
        <f t="shared" si="45"/>
        <v>0</v>
      </c>
      <c r="AI30" s="112">
        <f t="shared" si="10"/>
        <v>0</v>
      </c>
      <c r="AJ30" s="77">
        <f t="shared" si="11"/>
        <v>0</v>
      </c>
      <c r="AK30" s="77">
        <f t="shared" si="12"/>
        <v>0</v>
      </c>
      <c r="AL30" s="112">
        <f t="shared" si="13"/>
        <v>0</v>
      </c>
      <c r="AM30" s="77">
        <f t="shared" si="14"/>
        <v>0</v>
      </c>
      <c r="AN30" s="77">
        <f t="shared" si="15"/>
        <v>0</v>
      </c>
      <c r="AO30" s="112">
        <f t="shared" si="16"/>
        <v>0</v>
      </c>
      <c r="AP30" s="77">
        <f t="shared" si="17"/>
        <v>0</v>
      </c>
      <c r="AQ30" s="77">
        <f t="shared" si="18"/>
        <v>0</v>
      </c>
      <c r="AR30" s="112">
        <f t="shared" si="19"/>
        <v>0</v>
      </c>
      <c r="AS30" s="77">
        <f t="shared" si="20"/>
        <v>0</v>
      </c>
      <c r="AT30" s="77">
        <f t="shared" si="21"/>
        <v>0</v>
      </c>
      <c r="AU30" s="112">
        <f t="shared" si="22"/>
        <v>0</v>
      </c>
      <c r="AV30" s="77">
        <f t="shared" si="23"/>
        <v>0</v>
      </c>
      <c r="AW30" s="77">
        <f t="shared" si="24"/>
        <v>0</v>
      </c>
      <c r="AX30" s="112">
        <f t="shared" si="25"/>
        <v>0</v>
      </c>
      <c r="AY30" s="114">
        <f>IF('&lt;高橋敦&gt;報告. 1910'!G30='&lt;高橋敦&gt;報告. 1910'!$AY$9,'&lt;高橋敦&gt;報告. 1910'!$X$4,0)</f>
        <v>0</v>
      </c>
      <c r="AZ30" s="115">
        <f>IF(ISNUMBER('&lt;高橋敦&gt;報告. 1910'!I30),'&lt;高橋敦&gt;報告. 1910'!I30,0)*24*60</f>
        <v>0</v>
      </c>
      <c r="BA30" s="115">
        <f>'&lt;高橋敦&gt;報告. 1910'!H30*24*60</f>
        <v>0</v>
      </c>
      <c r="BB30" s="115">
        <f t="shared" si="26"/>
        <v>0</v>
      </c>
      <c r="BC30" s="116">
        <f t="shared" si="27"/>
        <v>0</v>
      </c>
      <c r="BD30" s="111">
        <f t="shared" si="46"/>
        <v>0</v>
      </c>
      <c r="BE30" s="117">
        <f t="shared" si="28"/>
        <v>0</v>
      </c>
      <c r="BF30" s="117">
        <f t="shared" si="29"/>
        <v>0</v>
      </c>
      <c r="BG30" s="118">
        <f>SUM(BD$10:BD30)</f>
        <v>5520</v>
      </c>
      <c r="BH30" s="119">
        <f>SUM(BE$10:BE30)</f>
        <v>3.8333333333333335</v>
      </c>
      <c r="BI30" s="120">
        <f>IF('&lt;高橋敦&gt;報告. 1910'!U30=1,'&lt;高橋敦&gt;報告. 1910'!$X$4,0)</f>
        <v>450</v>
      </c>
      <c r="BJ30" s="117">
        <f t="shared" si="30"/>
        <v>0.3125</v>
      </c>
      <c r="BK30" s="120">
        <f>SUM(BI$10:BI30)</f>
        <v>6300</v>
      </c>
      <c r="BL30" s="119">
        <f>SUM(BJ$10:BJ30)</f>
        <v>4.375</v>
      </c>
      <c r="BM30" s="120">
        <f t="shared" si="31"/>
        <v>-450</v>
      </c>
      <c r="BN30" s="121" t="str">
        <f t="shared" si="32"/>
        <v>-</v>
      </c>
      <c r="BO30" s="119">
        <f t="shared" si="47"/>
        <v>-0.3125</v>
      </c>
      <c r="BP30" s="120">
        <f>SUM(BM$10:BM30)</f>
        <v>-780</v>
      </c>
      <c r="BQ30" s="121" t="str">
        <f t="shared" si="33"/>
        <v>-</v>
      </c>
      <c r="BR30" s="122">
        <f t="shared" si="34"/>
        <v>780</v>
      </c>
      <c r="BS30" s="299" t="str">
        <f>IF(SUM($BO$10:BO30)&lt;0,TEXT(ABS(SUM($BO$10:BO30)),"-[h]:mm"),SUM($BO$10:BO30))</f>
        <v>-13:00</v>
      </c>
      <c r="BT30" s="124"/>
      <c r="BU30" s="123">
        <f t="shared" si="48"/>
        <v>0</v>
      </c>
      <c r="BV30" s="123">
        <f t="shared" si="51"/>
        <v>0</v>
      </c>
      <c r="BW30" s="123">
        <f t="shared" si="35"/>
        <v>0</v>
      </c>
      <c r="BX30" s="123">
        <f t="shared" si="36"/>
        <v>0</v>
      </c>
      <c r="BY30" s="123">
        <f t="shared" si="37"/>
        <v>0</v>
      </c>
      <c r="BZ30" s="123">
        <f t="shared" si="38"/>
        <v>0</v>
      </c>
      <c r="CA30" s="123">
        <f t="shared" si="39"/>
        <v>0</v>
      </c>
      <c r="CB30" s="123">
        <f t="shared" si="40"/>
        <v>0</v>
      </c>
      <c r="CC30" s="123">
        <f t="shared" si="49"/>
        <v>0</v>
      </c>
      <c r="CD30" s="74"/>
      <c r="CE30" s="123">
        <f t="shared" si="41"/>
        <v>0</v>
      </c>
    </row>
    <row r="31" spans="1:110" ht="18" customHeight="1">
      <c r="A31" s="488">
        <f t="shared" si="50"/>
        <v>43760</v>
      </c>
      <c r="B31" s="317">
        <f t="shared" si="1"/>
        <v>3</v>
      </c>
      <c r="C31" s="66"/>
      <c r="D31" s="542"/>
      <c r="E31" s="469" t="str">
        <f t="shared" si="52"/>
        <v>～</v>
      </c>
      <c r="F31" s="545"/>
      <c r="G31" s="456"/>
      <c r="H31" s="559"/>
      <c r="I31" s="556"/>
      <c r="J31" s="314">
        <f>IF(A31="","",'&lt;高橋敦&gt;報告. 1910'!BJ31)</f>
        <v>0</v>
      </c>
      <c r="K31" s="51">
        <f>TIME(0,'&lt;高橋敦&gt;報告. 1910'!BC31,0)</f>
        <v>0</v>
      </c>
      <c r="L31" s="549">
        <f>IF(A31="","",'&lt;高橋敦&gt;報告. 1910'!BE31)</f>
        <v>0</v>
      </c>
      <c r="M31" s="552">
        <f>IF(A31="","",'&lt;高橋敦&gt;報告. 1910'!BH31)</f>
        <v>3.8333333333333335</v>
      </c>
      <c r="N31" s="312"/>
      <c r="O31" s="55" t="str">
        <f>IF(A31="","",'&lt;高橋敦&gt;報告. 1910'!BS31)</f>
        <v>-13:00</v>
      </c>
      <c r="P31" s="708"/>
      <c r="Q31" s="708"/>
      <c r="R31" s="709"/>
      <c r="S31" s="710"/>
      <c r="T31" s="65"/>
      <c r="U31" s="45">
        <f t="shared" si="2"/>
        <v>0</v>
      </c>
      <c r="V31" s="62" t="b">
        <f t="shared" si="42"/>
        <v>0</v>
      </c>
      <c r="W31" s="62"/>
      <c r="X31" s="110">
        <f>'&lt;高橋敦&gt;報告. 1910'!A31</f>
        <v>43760</v>
      </c>
      <c r="Y31" s="111">
        <f t="shared" si="43"/>
        <v>0</v>
      </c>
      <c r="Z31" s="111">
        <f t="shared" si="3"/>
        <v>0</v>
      </c>
      <c r="AA31" s="111">
        <f t="shared" si="44"/>
        <v>0</v>
      </c>
      <c r="AB31" s="77">
        <f t="shared" si="4"/>
        <v>0</v>
      </c>
      <c r="AC31" s="112">
        <f t="shared" si="5"/>
        <v>0</v>
      </c>
      <c r="AD31" s="111">
        <f t="shared" si="6"/>
        <v>0</v>
      </c>
      <c r="AE31" s="77">
        <f t="shared" si="7"/>
        <v>0</v>
      </c>
      <c r="AF31" s="113">
        <f t="shared" si="8"/>
        <v>0</v>
      </c>
      <c r="AG31" s="77">
        <f t="shared" si="9"/>
        <v>0</v>
      </c>
      <c r="AH31" s="77">
        <f t="shared" si="45"/>
        <v>0</v>
      </c>
      <c r="AI31" s="112">
        <f t="shared" si="10"/>
        <v>0</v>
      </c>
      <c r="AJ31" s="77">
        <f t="shared" si="11"/>
        <v>0</v>
      </c>
      <c r="AK31" s="77">
        <f t="shared" si="12"/>
        <v>0</v>
      </c>
      <c r="AL31" s="112">
        <f t="shared" si="13"/>
        <v>0</v>
      </c>
      <c r="AM31" s="77">
        <f t="shared" si="14"/>
        <v>0</v>
      </c>
      <c r="AN31" s="77">
        <f t="shared" si="15"/>
        <v>0</v>
      </c>
      <c r="AO31" s="112">
        <f t="shared" si="16"/>
        <v>0</v>
      </c>
      <c r="AP31" s="77">
        <f t="shared" si="17"/>
        <v>0</v>
      </c>
      <c r="AQ31" s="77">
        <f t="shared" si="18"/>
        <v>0</v>
      </c>
      <c r="AR31" s="112">
        <f t="shared" si="19"/>
        <v>0</v>
      </c>
      <c r="AS31" s="77">
        <f t="shared" si="20"/>
        <v>0</v>
      </c>
      <c r="AT31" s="77">
        <f t="shared" si="21"/>
        <v>0</v>
      </c>
      <c r="AU31" s="112">
        <f t="shared" si="22"/>
        <v>0</v>
      </c>
      <c r="AV31" s="77">
        <f t="shared" si="23"/>
        <v>0</v>
      </c>
      <c r="AW31" s="77">
        <f t="shared" si="24"/>
        <v>0</v>
      </c>
      <c r="AX31" s="112">
        <f t="shared" si="25"/>
        <v>0</v>
      </c>
      <c r="AY31" s="114">
        <f>IF('&lt;高橋敦&gt;報告. 1910'!G31='&lt;高橋敦&gt;報告. 1910'!$AY$9,'&lt;高橋敦&gt;報告. 1910'!$X$4,0)</f>
        <v>0</v>
      </c>
      <c r="AZ31" s="115">
        <f>IF(ISNUMBER('&lt;高橋敦&gt;報告. 1910'!I31),'&lt;高橋敦&gt;報告. 1910'!I31,0)*24*60</f>
        <v>0</v>
      </c>
      <c r="BA31" s="115">
        <f>'&lt;高橋敦&gt;報告. 1910'!H31*24*60</f>
        <v>0</v>
      </c>
      <c r="BB31" s="115">
        <f t="shared" si="26"/>
        <v>0</v>
      </c>
      <c r="BC31" s="116">
        <f t="shared" si="27"/>
        <v>0</v>
      </c>
      <c r="BD31" s="111">
        <f t="shared" si="46"/>
        <v>0</v>
      </c>
      <c r="BE31" s="117">
        <f t="shared" si="28"/>
        <v>0</v>
      </c>
      <c r="BF31" s="117">
        <f t="shared" si="29"/>
        <v>0</v>
      </c>
      <c r="BG31" s="118">
        <f>SUM(BD$10:BD31)</f>
        <v>5520</v>
      </c>
      <c r="BH31" s="119">
        <f>SUM(BE$10:BE31)</f>
        <v>3.8333333333333335</v>
      </c>
      <c r="BI31" s="120">
        <f>IF('&lt;高橋敦&gt;報告. 1910'!U31=1,'&lt;高橋敦&gt;報告. 1910'!$X$4,0)</f>
        <v>0</v>
      </c>
      <c r="BJ31" s="117">
        <f t="shared" si="30"/>
        <v>0</v>
      </c>
      <c r="BK31" s="120">
        <f>SUM(BI$10:BI31)</f>
        <v>6300</v>
      </c>
      <c r="BL31" s="119">
        <f>SUM(BJ$10:BJ31)</f>
        <v>4.375</v>
      </c>
      <c r="BM31" s="120">
        <f t="shared" si="31"/>
        <v>0</v>
      </c>
      <c r="BN31" s="121" t="str">
        <f t="shared" si="32"/>
        <v/>
      </c>
      <c r="BO31" s="119">
        <f t="shared" si="47"/>
        <v>0</v>
      </c>
      <c r="BP31" s="120">
        <f>SUM(BM$10:BM31)</f>
        <v>-780</v>
      </c>
      <c r="BQ31" s="121" t="str">
        <f t="shared" si="33"/>
        <v>-</v>
      </c>
      <c r="BR31" s="122">
        <f t="shared" si="34"/>
        <v>780</v>
      </c>
      <c r="BS31" s="299" t="str">
        <f>IF(SUM($BO$10:BO31)&lt;0,TEXT(ABS(SUM($BO$10:BO31)),"-[h]:mm"),SUM($BO$10:BO31))</f>
        <v>-13:00</v>
      </c>
      <c r="BT31" s="124"/>
      <c r="BU31" s="123">
        <f t="shared" si="48"/>
        <v>0</v>
      </c>
      <c r="BV31" s="123">
        <f t="shared" si="51"/>
        <v>0</v>
      </c>
      <c r="BW31" s="123">
        <f t="shared" si="35"/>
        <v>0</v>
      </c>
      <c r="BX31" s="123">
        <f t="shared" si="36"/>
        <v>0</v>
      </c>
      <c r="BY31" s="123">
        <f t="shared" si="37"/>
        <v>0</v>
      </c>
      <c r="BZ31" s="123">
        <f t="shared" si="38"/>
        <v>0</v>
      </c>
      <c r="CA31" s="123">
        <f t="shared" si="39"/>
        <v>0</v>
      </c>
      <c r="CB31" s="123">
        <f t="shared" si="40"/>
        <v>0</v>
      </c>
      <c r="CC31" s="123">
        <f t="shared" si="49"/>
        <v>0</v>
      </c>
      <c r="CD31" s="74"/>
      <c r="CE31" s="123">
        <f t="shared" si="41"/>
        <v>0</v>
      </c>
    </row>
    <row r="32" spans="1:110" ht="18" customHeight="1">
      <c r="A32" s="488">
        <f t="shared" si="50"/>
        <v>43761</v>
      </c>
      <c r="B32" s="317">
        <f t="shared" si="1"/>
        <v>4</v>
      </c>
      <c r="C32" s="66"/>
      <c r="D32" s="542">
        <v>0.45833333333333331</v>
      </c>
      <c r="E32" s="469" t="str">
        <f t="shared" si="52"/>
        <v>～</v>
      </c>
      <c r="F32" s="545">
        <v>0.75</v>
      </c>
      <c r="G32" s="456"/>
      <c r="H32" s="559"/>
      <c r="I32" s="556"/>
      <c r="J32" s="314">
        <f>IF(A32="","",'&lt;高橋敦&gt;報告. 1910'!BJ32)</f>
        <v>0.3125</v>
      </c>
      <c r="K32" s="51">
        <f>TIME(0,'&lt;高橋敦&gt;報告. 1910'!BC32,0)</f>
        <v>0.25</v>
      </c>
      <c r="L32" s="549">
        <f>IF(A32="","",'&lt;高橋敦&gt;報告. 1910'!BE32)</f>
        <v>0.25</v>
      </c>
      <c r="M32" s="552">
        <f>IF(A32="","",'&lt;高橋敦&gt;報告. 1910'!BH32)</f>
        <v>4.0833333333333339</v>
      </c>
      <c r="N32" s="312"/>
      <c r="O32" s="55" t="str">
        <f>IF(A32="","",'&lt;高橋敦&gt;報告. 1910'!BS32)</f>
        <v>-14:30</v>
      </c>
      <c r="P32" s="708"/>
      <c r="Q32" s="708"/>
      <c r="R32" s="709"/>
      <c r="S32" s="710"/>
      <c r="T32" s="65"/>
      <c r="U32" s="45">
        <f t="shared" si="2"/>
        <v>1</v>
      </c>
      <c r="V32" s="62" t="b">
        <f>AND($H32&gt;0,$BB32=0)</f>
        <v>0</v>
      </c>
      <c r="W32" s="62"/>
      <c r="X32" s="110">
        <f>'&lt;高橋敦&gt;報告. 1910'!A32</f>
        <v>43761</v>
      </c>
      <c r="Y32" s="111">
        <f t="shared" si="43"/>
        <v>660</v>
      </c>
      <c r="Z32" s="111">
        <f t="shared" si="3"/>
        <v>660</v>
      </c>
      <c r="AA32" s="111">
        <f t="shared" si="44"/>
        <v>1080</v>
      </c>
      <c r="AB32" s="77">
        <f t="shared" si="4"/>
        <v>1080</v>
      </c>
      <c r="AC32" s="112">
        <f t="shared" si="5"/>
        <v>0</v>
      </c>
      <c r="AD32" s="111">
        <f t="shared" si="6"/>
        <v>660</v>
      </c>
      <c r="AE32" s="77">
        <f t="shared" si="7"/>
        <v>720</v>
      </c>
      <c r="AF32" s="113">
        <f t="shared" si="8"/>
        <v>60</v>
      </c>
      <c r="AG32" s="77">
        <f t="shared" si="9"/>
        <v>780</v>
      </c>
      <c r="AH32" s="77">
        <f t="shared" si="45"/>
        <v>1080</v>
      </c>
      <c r="AI32" s="112">
        <f t="shared" si="10"/>
        <v>300</v>
      </c>
      <c r="AJ32" s="77">
        <f t="shared" si="11"/>
        <v>1200</v>
      </c>
      <c r="AK32" s="77">
        <f t="shared" si="12"/>
        <v>1080</v>
      </c>
      <c r="AL32" s="112">
        <f t="shared" si="13"/>
        <v>0</v>
      </c>
      <c r="AM32" s="77">
        <f t="shared" si="14"/>
        <v>1500</v>
      </c>
      <c r="AN32" s="77">
        <f t="shared" si="15"/>
        <v>1080</v>
      </c>
      <c r="AO32" s="112">
        <f t="shared" si="16"/>
        <v>0</v>
      </c>
      <c r="AP32" s="77">
        <f t="shared" si="17"/>
        <v>1860</v>
      </c>
      <c r="AQ32" s="77">
        <f t="shared" si="18"/>
        <v>1080</v>
      </c>
      <c r="AR32" s="112">
        <f t="shared" si="19"/>
        <v>0</v>
      </c>
      <c r="AS32" s="77">
        <f t="shared" si="20"/>
        <v>1980</v>
      </c>
      <c r="AT32" s="77">
        <f t="shared" si="21"/>
        <v>1080</v>
      </c>
      <c r="AU32" s="112">
        <f t="shared" si="22"/>
        <v>0</v>
      </c>
      <c r="AV32" s="77">
        <f t="shared" si="23"/>
        <v>1980</v>
      </c>
      <c r="AW32" s="77">
        <f t="shared" si="24"/>
        <v>1080</v>
      </c>
      <c r="AX32" s="112">
        <f t="shared" si="25"/>
        <v>0</v>
      </c>
      <c r="AY32" s="114">
        <f>IF('&lt;高橋敦&gt;報告. 1910'!G32='&lt;高橋敦&gt;報告. 1910'!$AY$9,'&lt;高橋敦&gt;報告. 1910'!$X$4,0)</f>
        <v>0</v>
      </c>
      <c r="AZ32" s="115">
        <f>IF(ISNUMBER('&lt;高橋敦&gt;報告. 1910'!I32),'&lt;高橋敦&gt;報告. 1910'!I32,0)*24*60</f>
        <v>0</v>
      </c>
      <c r="BA32" s="115">
        <f>'&lt;高橋敦&gt;報告. 1910'!H32*24*60</f>
        <v>0</v>
      </c>
      <c r="BB32" s="115">
        <f t="shared" si="26"/>
        <v>0</v>
      </c>
      <c r="BC32" s="116">
        <f t="shared" si="27"/>
        <v>360</v>
      </c>
      <c r="BD32" s="111">
        <f t="shared" si="46"/>
        <v>360</v>
      </c>
      <c r="BE32" s="117">
        <f t="shared" si="28"/>
        <v>0.25</v>
      </c>
      <c r="BF32" s="117">
        <f t="shared" si="29"/>
        <v>0.25</v>
      </c>
      <c r="BG32" s="118">
        <f>SUM(BD$10:BD32)</f>
        <v>5880</v>
      </c>
      <c r="BH32" s="119">
        <f>SUM(BE$10:BE32)</f>
        <v>4.0833333333333339</v>
      </c>
      <c r="BI32" s="120">
        <f>IF('&lt;高橋敦&gt;報告. 1910'!U32=1,'&lt;高橋敦&gt;報告. 1910'!$X$4,0)</f>
        <v>450</v>
      </c>
      <c r="BJ32" s="117">
        <f t="shared" si="30"/>
        <v>0.3125</v>
      </c>
      <c r="BK32" s="120">
        <f>SUM(BI$10:BI32)</f>
        <v>6750</v>
      </c>
      <c r="BL32" s="119">
        <f>SUM(BJ$10:BJ32)</f>
        <v>4.6875</v>
      </c>
      <c r="BM32" s="120">
        <f t="shared" si="31"/>
        <v>-90</v>
      </c>
      <c r="BN32" s="121" t="str">
        <f t="shared" si="32"/>
        <v>-</v>
      </c>
      <c r="BO32" s="119">
        <f t="shared" si="47"/>
        <v>-6.25E-2</v>
      </c>
      <c r="BP32" s="120">
        <f>SUM(BM$10:BM32)</f>
        <v>-870</v>
      </c>
      <c r="BQ32" s="121" t="str">
        <f t="shared" si="33"/>
        <v>-</v>
      </c>
      <c r="BR32" s="122">
        <f t="shared" si="34"/>
        <v>870</v>
      </c>
      <c r="BS32" s="299" t="str">
        <f>IF(SUM($BO$10:BO32)&lt;0,TEXT(ABS(SUM($BO$10:BO32)),"-[h]:mm"),SUM($BO$10:BO32))</f>
        <v>-14:30</v>
      </c>
      <c r="BT32" s="124"/>
      <c r="BU32" s="123">
        <f t="shared" si="48"/>
        <v>60</v>
      </c>
      <c r="BV32" s="123">
        <f t="shared" si="51"/>
        <v>60</v>
      </c>
      <c r="BW32" s="123">
        <f t="shared" si="35"/>
        <v>0</v>
      </c>
      <c r="BX32" s="123">
        <f t="shared" si="36"/>
        <v>0</v>
      </c>
      <c r="BY32" s="123">
        <f t="shared" si="37"/>
        <v>0</v>
      </c>
      <c r="BZ32" s="123">
        <f t="shared" si="38"/>
        <v>0</v>
      </c>
      <c r="CA32" s="123">
        <f t="shared" si="39"/>
        <v>0</v>
      </c>
      <c r="CB32" s="123">
        <f t="shared" si="40"/>
        <v>0</v>
      </c>
      <c r="CC32" s="123">
        <f t="shared" si="49"/>
        <v>0</v>
      </c>
      <c r="CD32" s="74"/>
      <c r="CE32" s="123">
        <f t="shared" si="41"/>
        <v>6</v>
      </c>
    </row>
    <row r="33" spans="1:110" ht="18" customHeight="1">
      <c r="A33" s="488">
        <f t="shared" si="50"/>
        <v>43762</v>
      </c>
      <c r="B33" s="317">
        <f t="shared" si="1"/>
        <v>5</v>
      </c>
      <c r="C33" s="66"/>
      <c r="D33" s="542">
        <v>0.39583333333333331</v>
      </c>
      <c r="E33" s="469" t="str">
        <f t="shared" si="52"/>
        <v>～</v>
      </c>
      <c r="F33" s="545">
        <v>0.75</v>
      </c>
      <c r="G33" s="456"/>
      <c r="H33" s="559"/>
      <c r="I33" s="556"/>
      <c r="J33" s="314">
        <f>IF(A33="","",'&lt;高橋敦&gt;報告. 1910'!BJ33)</f>
        <v>0.3125</v>
      </c>
      <c r="K33" s="51">
        <f>TIME(0,'&lt;高橋敦&gt;報告. 1910'!BC33,0)</f>
        <v>0.3125</v>
      </c>
      <c r="L33" s="549">
        <f>IF(A33="","",'&lt;高橋敦&gt;報告. 1910'!BE33)</f>
        <v>0.3125</v>
      </c>
      <c r="M33" s="552">
        <f>IF(A33="","",'&lt;高橋敦&gt;報告. 1910'!BH33)</f>
        <v>4.3958333333333339</v>
      </c>
      <c r="N33" s="312"/>
      <c r="O33" s="55" t="str">
        <f>IF(A33="","",'&lt;高橋敦&gt;報告. 1910'!BS33)</f>
        <v>-14:30</v>
      </c>
      <c r="P33" s="708"/>
      <c r="Q33" s="708"/>
      <c r="R33" s="709"/>
      <c r="S33" s="710"/>
      <c r="T33" s="65"/>
      <c r="U33" s="45">
        <f t="shared" si="2"/>
        <v>1</v>
      </c>
      <c r="V33" s="62" t="b">
        <f t="shared" si="42"/>
        <v>0</v>
      </c>
      <c r="W33" s="62"/>
      <c r="X33" s="110">
        <f>'&lt;高橋敦&gt;報告. 1910'!A33</f>
        <v>43762</v>
      </c>
      <c r="Y33" s="111">
        <f t="shared" si="43"/>
        <v>570</v>
      </c>
      <c r="Z33" s="111">
        <f t="shared" si="3"/>
        <v>570</v>
      </c>
      <c r="AA33" s="111">
        <f t="shared" si="44"/>
        <v>1080</v>
      </c>
      <c r="AB33" s="77">
        <f t="shared" si="4"/>
        <v>1080</v>
      </c>
      <c r="AC33" s="112">
        <f t="shared" si="5"/>
        <v>0</v>
      </c>
      <c r="AD33" s="111">
        <f t="shared" si="6"/>
        <v>570</v>
      </c>
      <c r="AE33" s="77">
        <f t="shared" si="7"/>
        <v>720</v>
      </c>
      <c r="AF33" s="113">
        <f t="shared" si="8"/>
        <v>150</v>
      </c>
      <c r="AG33" s="77">
        <f t="shared" si="9"/>
        <v>780</v>
      </c>
      <c r="AH33" s="77">
        <f t="shared" si="45"/>
        <v>1080</v>
      </c>
      <c r="AI33" s="112">
        <f t="shared" si="10"/>
        <v>300</v>
      </c>
      <c r="AJ33" s="77">
        <f t="shared" si="11"/>
        <v>1200</v>
      </c>
      <c r="AK33" s="77">
        <f t="shared" si="12"/>
        <v>1080</v>
      </c>
      <c r="AL33" s="112">
        <f t="shared" si="13"/>
        <v>0</v>
      </c>
      <c r="AM33" s="77">
        <f t="shared" si="14"/>
        <v>1500</v>
      </c>
      <c r="AN33" s="77">
        <f t="shared" si="15"/>
        <v>1080</v>
      </c>
      <c r="AO33" s="112">
        <f t="shared" si="16"/>
        <v>0</v>
      </c>
      <c r="AP33" s="77">
        <f t="shared" si="17"/>
        <v>1860</v>
      </c>
      <c r="AQ33" s="77">
        <f t="shared" si="18"/>
        <v>1080</v>
      </c>
      <c r="AR33" s="112">
        <f t="shared" si="19"/>
        <v>0</v>
      </c>
      <c r="AS33" s="77">
        <f t="shared" si="20"/>
        <v>1980</v>
      </c>
      <c r="AT33" s="77">
        <f t="shared" si="21"/>
        <v>1080</v>
      </c>
      <c r="AU33" s="112">
        <f t="shared" si="22"/>
        <v>0</v>
      </c>
      <c r="AV33" s="77">
        <f t="shared" si="23"/>
        <v>1980</v>
      </c>
      <c r="AW33" s="77">
        <f t="shared" si="24"/>
        <v>1080</v>
      </c>
      <c r="AX33" s="112">
        <f t="shared" si="25"/>
        <v>0</v>
      </c>
      <c r="AY33" s="114">
        <f>IF('&lt;高橋敦&gt;報告. 1910'!G33='&lt;高橋敦&gt;報告. 1910'!$AY$9,'&lt;高橋敦&gt;報告. 1910'!$X$4,0)</f>
        <v>0</v>
      </c>
      <c r="AZ33" s="115">
        <f>IF(ISNUMBER('&lt;高橋敦&gt;報告. 1910'!I33),'&lt;高橋敦&gt;報告. 1910'!I33,0)*24*60</f>
        <v>0</v>
      </c>
      <c r="BA33" s="115">
        <f>'&lt;高橋敦&gt;報告. 1910'!H33*24*60</f>
        <v>0</v>
      </c>
      <c r="BB33" s="115">
        <f t="shared" si="26"/>
        <v>0</v>
      </c>
      <c r="BC33" s="116">
        <f t="shared" si="27"/>
        <v>450</v>
      </c>
      <c r="BD33" s="111">
        <f t="shared" si="46"/>
        <v>450</v>
      </c>
      <c r="BE33" s="117">
        <f t="shared" si="28"/>
        <v>0.3125</v>
      </c>
      <c r="BF33" s="117">
        <f t="shared" si="29"/>
        <v>0.3125</v>
      </c>
      <c r="BG33" s="118">
        <f>SUM(BD$10:BD33)</f>
        <v>6330</v>
      </c>
      <c r="BH33" s="119">
        <f>SUM(BE$10:BE33)</f>
        <v>4.3958333333333339</v>
      </c>
      <c r="BI33" s="120">
        <f>IF('&lt;高橋敦&gt;報告. 1910'!U33=1,'&lt;高橋敦&gt;報告. 1910'!$X$4,0)</f>
        <v>450</v>
      </c>
      <c r="BJ33" s="117">
        <f t="shared" si="30"/>
        <v>0.3125</v>
      </c>
      <c r="BK33" s="120">
        <f>SUM(BI$10:BI33)</f>
        <v>7200</v>
      </c>
      <c r="BL33" s="119">
        <f>SUM(BJ$10:BJ33)</f>
        <v>5</v>
      </c>
      <c r="BM33" s="120">
        <f t="shared" si="31"/>
        <v>0</v>
      </c>
      <c r="BN33" s="121" t="str">
        <f t="shared" si="32"/>
        <v/>
      </c>
      <c r="BO33" s="119">
        <f t="shared" si="47"/>
        <v>0</v>
      </c>
      <c r="BP33" s="120">
        <f>SUM(BM$10:BM33)</f>
        <v>-870</v>
      </c>
      <c r="BQ33" s="121" t="str">
        <f t="shared" si="33"/>
        <v>-</v>
      </c>
      <c r="BR33" s="122">
        <f t="shared" si="34"/>
        <v>870</v>
      </c>
      <c r="BS33" s="299" t="str">
        <f>IF(SUM($BO$10:BO33)&lt;0,TEXT(ABS(SUM($BO$10:BO33)),"-[h]:mm"),SUM($BO$10:BO33))</f>
        <v>-14:30</v>
      </c>
      <c r="BT33" s="124"/>
      <c r="BU33" s="123">
        <f t="shared" si="48"/>
        <v>60</v>
      </c>
      <c r="BV33" s="123">
        <f t="shared" si="51"/>
        <v>60</v>
      </c>
      <c r="BW33" s="123">
        <f t="shared" si="35"/>
        <v>0</v>
      </c>
      <c r="BX33" s="123">
        <f t="shared" si="36"/>
        <v>0</v>
      </c>
      <c r="BY33" s="123">
        <f t="shared" si="37"/>
        <v>0</v>
      </c>
      <c r="BZ33" s="123">
        <f t="shared" si="38"/>
        <v>0</v>
      </c>
      <c r="CA33" s="123">
        <f t="shared" si="39"/>
        <v>0</v>
      </c>
      <c r="CB33" s="123">
        <f t="shared" si="40"/>
        <v>0</v>
      </c>
      <c r="CC33" s="123">
        <f t="shared" si="49"/>
        <v>0</v>
      </c>
      <c r="CD33" s="74"/>
      <c r="CE33" s="123">
        <f t="shared" si="41"/>
        <v>6</v>
      </c>
    </row>
    <row r="34" spans="1:110" ht="18" customHeight="1">
      <c r="A34" s="488">
        <f t="shared" si="50"/>
        <v>43763</v>
      </c>
      <c r="B34" s="317">
        <f t="shared" si="1"/>
        <v>6</v>
      </c>
      <c r="C34" s="66"/>
      <c r="D34" s="542">
        <v>0.39583333333333331</v>
      </c>
      <c r="E34" s="469" t="str">
        <f t="shared" si="52"/>
        <v>～</v>
      </c>
      <c r="F34" s="545">
        <v>0.75</v>
      </c>
      <c r="G34" s="456"/>
      <c r="H34" s="559"/>
      <c r="I34" s="556"/>
      <c r="J34" s="314">
        <f>IF(A34="","",'&lt;高橋敦&gt;報告. 1910'!BJ34)</f>
        <v>0.3125</v>
      </c>
      <c r="K34" s="54">
        <f>IF(A34="","",TIME(0,'&lt;高橋敦&gt;報告. 1910'!BC34,0))</f>
        <v>0.3125</v>
      </c>
      <c r="L34" s="549">
        <f>IF(A34="","",'&lt;高橋敦&gt;報告. 1910'!BE34)</f>
        <v>0.3125</v>
      </c>
      <c r="M34" s="552">
        <f>IF(A34="","",'&lt;高橋敦&gt;報告. 1910'!BH34)</f>
        <v>4.7083333333333339</v>
      </c>
      <c r="N34" s="312"/>
      <c r="O34" s="55" t="str">
        <f>IF(A34="","",'&lt;高橋敦&gt;報告. 1910'!BS34)</f>
        <v>-14:30</v>
      </c>
      <c r="P34" s="708"/>
      <c r="Q34" s="708"/>
      <c r="R34" s="709"/>
      <c r="S34" s="710"/>
      <c r="T34" s="65"/>
      <c r="U34" s="45">
        <f t="shared" si="2"/>
        <v>1</v>
      </c>
      <c r="V34" s="62" t="b">
        <f t="shared" si="42"/>
        <v>0</v>
      </c>
      <c r="W34" s="62"/>
      <c r="X34" s="110">
        <f>'&lt;高橋敦&gt;報告. 1910'!A34</f>
        <v>43763</v>
      </c>
      <c r="Y34" s="111">
        <f t="shared" si="43"/>
        <v>570</v>
      </c>
      <c r="Z34" s="111">
        <f t="shared" si="3"/>
        <v>570</v>
      </c>
      <c r="AA34" s="111">
        <f t="shared" si="44"/>
        <v>1080</v>
      </c>
      <c r="AB34" s="77">
        <f t="shared" si="4"/>
        <v>1080</v>
      </c>
      <c r="AC34" s="112">
        <f t="shared" si="5"/>
        <v>0</v>
      </c>
      <c r="AD34" s="111">
        <f t="shared" si="6"/>
        <v>570</v>
      </c>
      <c r="AE34" s="77">
        <f t="shared" si="7"/>
        <v>720</v>
      </c>
      <c r="AF34" s="113">
        <f t="shared" si="8"/>
        <v>150</v>
      </c>
      <c r="AG34" s="77">
        <f t="shared" si="9"/>
        <v>780</v>
      </c>
      <c r="AH34" s="77">
        <f t="shared" si="45"/>
        <v>1080</v>
      </c>
      <c r="AI34" s="112">
        <f t="shared" si="10"/>
        <v>300</v>
      </c>
      <c r="AJ34" s="77">
        <f t="shared" si="11"/>
        <v>1200</v>
      </c>
      <c r="AK34" s="77">
        <f t="shared" si="12"/>
        <v>1080</v>
      </c>
      <c r="AL34" s="112">
        <f t="shared" si="13"/>
        <v>0</v>
      </c>
      <c r="AM34" s="77">
        <f t="shared" si="14"/>
        <v>1500</v>
      </c>
      <c r="AN34" s="77">
        <f t="shared" si="15"/>
        <v>1080</v>
      </c>
      <c r="AO34" s="112">
        <f t="shared" si="16"/>
        <v>0</v>
      </c>
      <c r="AP34" s="77">
        <f t="shared" si="17"/>
        <v>1860</v>
      </c>
      <c r="AQ34" s="77">
        <f t="shared" si="18"/>
        <v>1080</v>
      </c>
      <c r="AR34" s="112">
        <f t="shared" si="19"/>
        <v>0</v>
      </c>
      <c r="AS34" s="77">
        <f t="shared" si="20"/>
        <v>1980</v>
      </c>
      <c r="AT34" s="77">
        <f t="shared" si="21"/>
        <v>1080</v>
      </c>
      <c r="AU34" s="112">
        <f t="shared" si="22"/>
        <v>0</v>
      </c>
      <c r="AV34" s="77">
        <f t="shared" si="23"/>
        <v>1980</v>
      </c>
      <c r="AW34" s="77">
        <f t="shared" si="24"/>
        <v>1080</v>
      </c>
      <c r="AX34" s="112">
        <f t="shared" si="25"/>
        <v>0</v>
      </c>
      <c r="AY34" s="114">
        <f>IF('&lt;高橋敦&gt;報告. 1910'!G34='&lt;高橋敦&gt;報告. 1910'!$AY$9,'&lt;高橋敦&gt;報告. 1910'!$X$4,0)</f>
        <v>0</v>
      </c>
      <c r="AZ34" s="115">
        <f>IF(ISNUMBER('&lt;高橋敦&gt;報告. 1910'!I34),'&lt;高橋敦&gt;報告. 1910'!I34,0)*24*60</f>
        <v>0</v>
      </c>
      <c r="BA34" s="115">
        <f>'&lt;高橋敦&gt;報告. 1910'!H34*24*60</f>
        <v>0</v>
      </c>
      <c r="BB34" s="115">
        <f t="shared" si="26"/>
        <v>0</v>
      </c>
      <c r="BC34" s="116">
        <f t="shared" si="27"/>
        <v>450</v>
      </c>
      <c r="BD34" s="111">
        <f t="shared" si="46"/>
        <v>450</v>
      </c>
      <c r="BE34" s="117">
        <f t="shared" si="28"/>
        <v>0.3125</v>
      </c>
      <c r="BF34" s="117">
        <f t="shared" si="29"/>
        <v>0.3125</v>
      </c>
      <c r="BG34" s="118">
        <f>SUM(BD$10:BD34)</f>
        <v>6780</v>
      </c>
      <c r="BH34" s="119">
        <f>SUM(BE$10:BE34)</f>
        <v>4.7083333333333339</v>
      </c>
      <c r="BI34" s="120">
        <f>IF('&lt;高橋敦&gt;報告. 1910'!U34=1,'&lt;高橋敦&gt;報告. 1910'!$X$4,0)</f>
        <v>450</v>
      </c>
      <c r="BJ34" s="117">
        <f t="shared" si="30"/>
        <v>0.3125</v>
      </c>
      <c r="BK34" s="120">
        <f>SUM(BI$10:BI34)</f>
        <v>7650</v>
      </c>
      <c r="BL34" s="119">
        <f>SUM(BJ$10:BJ34)</f>
        <v>5.3125</v>
      </c>
      <c r="BM34" s="120">
        <f t="shared" si="31"/>
        <v>0</v>
      </c>
      <c r="BN34" s="121" t="str">
        <f t="shared" si="32"/>
        <v/>
      </c>
      <c r="BO34" s="119">
        <f t="shared" si="47"/>
        <v>0</v>
      </c>
      <c r="BP34" s="120">
        <f>SUM(BM$10:BM34)</f>
        <v>-870</v>
      </c>
      <c r="BQ34" s="121" t="str">
        <f t="shared" si="33"/>
        <v>-</v>
      </c>
      <c r="BR34" s="122">
        <f t="shared" si="34"/>
        <v>870</v>
      </c>
      <c r="BS34" s="299" t="str">
        <f>IF(SUM($BO$10:BO34)&lt;0,TEXT(ABS(SUM($BO$10:BO34)),"-[h]:mm"),SUM($BO$10:BO34))</f>
        <v>-14:30</v>
      </c>
      <c r="BT34" s="124"/>
      <c r="BU34" s="123">
        <f t="shared" si="48"/>
        <v>60</v>
      </c>
      <c r="BV34" s="123">
        <f t="shared" si="51"/>
        <v>60</v>
      </c>
      <c r="BW34" s="123">
        <f t="shared" si="35"/>
        <v>0</v>
      </c>
      <c r="BX34" s="123">
        <f t="shared" si="36"/>
        <v>0</v>
      </c>
      <c r="BY34" s="123">
        <f t="shared" si="37"/>
        <v>0</v>
      </c>
      <c r="BZ34" s="123">
        <f t="shared" si="38"/>
        <v>0</v>
      </c>
      <c r="CA34" s="123">
        <f t="shared" si="39"/>
        <v>0</v>
      </c>
      <c r="CB34" s="123">
        <f t="shared" si="40"/>
        <v>0</v>
      </c>
      <c r="CC34" s="123">
        <f t="shared" si="49"/>
        <v>0</v>
      </c>
      <c r="CD34" s="74"/>
      <c r="CE34" s="123">
        <f t="shared" si="41"/>
        <v>6</v>
      </c>
    </row>
    <row r="35" spans="1:110" ht="18" customHeight="1">
      <c r="A35" s="488">
        <f t="shared" ref="A35:A40" si="53">IF(A34="","",IF(MONTH(A34+1)=MONTH(A33),A34+1,""))</f>
        <v>43764</v>
      </c>
      <c r="B35" s="317">
        <f t="shared" si="1"/>
        <v>7</v>
      </c>
      <c r="C35" s="66"/>
      <c r="D35" s="542"/>
      <c r="E35" s="469" t="str">
        <f t="shared" si="52"/>
        <v>～</v>
      </c>
      <c r="F35" s="545"/>
      <c r="G35" s="456"/>
      <c r="H35" s="559"/>
      <c r="I35" s="556"/>
      <c r="J35" s="314">
        <f>IF(A35="","",'&lt;高橋敦&gt;報告. 1910'!BJ35)</f>
        <v>0</v>
      </c>
      <c r="K35" s="54">
        <f>IF(A35="","",TIME(0,'&lt;高橋敦&gt;報告. 1910'!BC35,0))</f>
        <v>0</v>
      </c>
      <c r="L35" s="549">
        <f>IF(A35="","",'&lt;高橋敦&gt;報告. 1910'!BE35)</f>
        <v>0</v>
      </c>
      <c r="M35" s="552">
        <f>IF(A35="","",'&lt;高橋敦&gt;報告. 1910'!BH35)</f>
        <v>4.7083333333333339</v>
      </c>
      <c r="N35" s="312"/>
      <c r="O35" s="55" t="str">
        <f>IF(A35="","",'&lt;高橋敦&gt;報告. 1910'!BS35)</f>
        <v>-14:30</v>
      </c>
      <c r="P35" s="708"/>
      <c r="Q35" s="708"/>
      <c r="R35" s="709"/>
      <c r="S35" s="710"/>
      <c r="T35" s="65"/>
      <c r="U35" s="45">
        <f t="shared" si="2"/>
        <v>0</v>
      </c>
      <c r="V35" s="62" t="b">
        <f t="shared" si="42"/>
        <v>0</v>
      </c>
      <c r="W35" s="62"/>
      <c r="X35" s="110">
        <f>'&lt;高橋敦&gt;報告. 1910'!A35</f>
        <v>43764</v>
      </c>
      <c r="Y35" s="111">
        <f t="shared" si="43"/>
        <v>0</v>
      </c>
      <c r="Z35" s="111">
        <f t="shared" si="3"/>
        <v>0</v>
      </c>
      <c r="AA35" s="111">
        <f t="shared" si="44"/>
        <v>0</v>
      </c>
      <c r="AB35" s="77">
        <f t="shared" si="4"/>
        <v>0</v>
      </c>
      <c r="AC35" s="112">
        <f t="shared" si="5"/>
        <v>0</v>
      </c>
      <c r="AD35" s="111">
        <f t="shared" si="6"/>
        <v>0</v>
      </c>
      <c r="AE35" s="77">
        <f t="shared" si="7"/>
        <v>0</v>
      </c>
      <c r="AF35" s="113">
        <f t="shared" si="8"/>
        <v>0</v>
      </c>
      <c r="AG35" s="77">
        <f t="shared" si="9"/>
        <v>0</v>
      </c>
      <c r="AH35" s="77">
        <f t="shared" si="45"/>
        <v>0</v>
      </c>
      <c r="AI35" s="112">
        <f t="shared" si="10"/>
        <v>0</v>
      </c>
      <c r="AJ35" s="77">
        <f t="shared" si="11"/>
        <v>0</v>
      </c>
      <c r="AK35" s="77">
        <f t="shared" si="12"/>
        <v>0</v>
      </c>
      <c r="AL35" s="112">
        <f t="shared" si="13"/>
        <v>0</v>
      </c>
      <c r="AM35" s="77">
        <f t="shared" si="14"/>
        <v>0</v>
      </c>
      <c r="AN35" s="77">
        <f t="shared" si="15"/>
        <v>0</v>
      </c>
      <c r="AO35" s="112">
        <f t="shared" si="16"/>
        <v>0</v>
      </c>
      <c r="AP35" s="77">
        <f t="shared" si="17"/>
        <v>0</v>
      </c>
      <c r="AQ35" s="77">
        <f t="shared" si="18"/>
        <v>0</v>
      </c>
      <c r="AR35" s="112">
        <f t="shared" si="19"/>
        <v>0</v>
      </c>
      <c r="AS35" s="77">
        <f t="shared" si="20"/>
        <v>0</v>
      </c>
      <c r="AT35" s="77">
        <f t="shared" si="21"/>
        <v>0</v>
      </c>
      <c r="AU35" s="112">
        <f t="shared" si="22"/>
        <v>0</v>
      </c>
      <c r="AV35" s="77">
        <f t="shared" si="23"/>
        <v>0</v>
      </c>
      <c r="AW35" s="77">
        <f t="shared" si="24"/>
        <v>0</v>
      </c>
      <c r="AX35" s="112">
        <f t="shared" si="25"/>
        <v>0</v>
      </c>
      <c r="AY35" s="114">
        <f>IF('&lt;高橋敦&gt;報告. 1910'!G35='&lt;高橋敦&gt;報告. 1910'!$AY$9,'&lt;高橋敦&gt;報告. 1910'!$X$4,0)</f>
        <v>0</v>
      </c>
      <c r="AZ35" s="115">
        <f>IF(ISNUMBER('&lt;高橋敦&gt;報告. 1910'!I35),'&lt;高橋敦&gt;報告. 1910'!I35,0)*24*60</f>
        <v>0</v>
      </c>
      <c r="BA35" s="115">
        <f>'&lt;高橋敦&gt;報告. 1910'!H35*24*60</f>
        <v>0</v>
      </c>
      <c r="BB35" s="115">
        <f t="shared" si="26"/>
        <v>0</v>
      </c>
      <c r="BC35" s="116">
        <f t="shared" si="27"/>
        <v>0</v>
      </c>
      <c r="BD35" s="111">
        <f t="shared" si="46"/>
        <v>0</v>
      </c>
      <c r="BE35" s="117">
        <f t="shared" si="28"/>
        <v>0</v>
      </c>
      <c r="BF35" s="117">
        <f t="shared" si="29"/>
        <v>0</v>
      </c>
      <c r="BG35" s="118">
        <f>SUM(BD$10:BD35)</f>
        <v>6780</v>
      </c>
      <c r="BH35" s="119">
        <f>SUM(BE$10:BE35)</f>
        <v>4.7083333333333339</v>
      </c>
      <c r="BI35" s="120">
        <f>IF('&lt;高橋敦&gt;報告. 1910'!U35=1,'&lt;高橋敦&gt;報告. 1910'!$X$4,0)</f>
        <v>0</v>
      </c>
      <c r="BJ35" s="117">
        <f t="shared" si="30"/>
        <v>0</v>
      </c>
      <c r="BK35" s="120">
        <f>SUM(BI$10:BI35)</f>
        <v>7650</v>
      </c>
      <c r="BL35" s="119">
        <f>SUM(BJ$10:BJ35)</f>
        <v>5.3125</v>
      </c>
      <c r="BM35" s="120">
        <f t="shared" si="31"/>
        <v>0</v>
      </c>
      <c r="BN35" s="121" t="str">
        <f t="shared" si="32"/>
        <v/>
      </c>
      <c r="BO35" s="119">
        <f t="shared" si="47"/>
        <v>0</v>
      </c>
      <c r="BP35" s="120">
        <f>SUM(BM$10:BM35)</f>
        <v>-870</v>
      </c>
      <c r="BQ35" s="121" t="str">
        <f t="shared" si="33"/>
        <v>-</v>
      </c>
      <c r="BR35" s="122">
        <f t="shared" si="34"/>
        <v>870</v>
      </c>
      <c r="BS35" s="299" t="str">
        <f>IF(SUM($BO$10:BO35)&lt;0,TEXT(ABS(SUM($BO$10:BO35)),"-[h]:mm"),SUM($BO$10:BO35))</f>
        <v>-14:30</v>
      </c>
      <c r="BT35" s="124"/>
      <c r="BU35" s="123">
        <f t="shared" si="48"/>
        <v>0</v>
      </c>
      <c r="BV35" s="123">
        <f t="shared" si="51"/>
        <v>0</v>
      </c>
      <c r="BW35" s="123">
        <f t="shared" si="35"/>
        <v>0</v>
      </c>
      <c r="BX35" s="123">
        <f t="shared" si="36"/>
        <v>0</v>
      </c>
      <c r="BY35" s="123">
        <f t="shared" si="37"/>
        <v>0</v>
      </c>
      <c r="BZ35" s="123">
        <f t="shared" si="38"/>
        <v>0</v>
      </c>
      <c r="CA35" s="123">
        <f t="shared" si="39"/>
        <v>0</v>
      </c>
      <c r="CB35" s="123">
        <f t="shared" si="40"/>
        <v>0</v>
      </c>
      <c r="CC35" s="123">
        <f t="shared" si="49"/>
        <v>0</v>
      </c>
      <c r="CD35" s="74"/>
      <c r="CE35" s="123">
        <f t="shared" si="41"/>
        <v>0</v>
      </c>
    </row>
    <row r="36" spans="1:110" ht="18" customHeight="1">
      <c r="A36" s="488">
        <f t="shared" si="53"/>
        <v>43765</v>
      </c>
      <c r="B36" s="317">
        <f t="shared" si="1"/>
        <v>1</v>
      </c>
      <c r="C36" s="66"/>
      <c r="D36" s="542"/>
      <c r="E36" s="469" t="str">
        <f t="shared" si="52"/>
        <v>～</v>
      </c>
      <c r="F36" s="545"/>
      <c r="G36" s="456"/>
      <c r="H36" s="559"/>
      <c r="I36" s="556"/>
      <c r="J36" s="314">
        <f>IF(A36="","",'&lt;高橋敦&gt;報告. 1910'!BJ36)</f>
        <v>0</v>
      </c>
      <c r="K36" s="54">
        <f>IF(A36="","",TIME(0,'&lt;高橋敦&gt;報告. 1910'!BC36,0))</f>
        <v>0</v>
      </c>
      <c r="L36" s="549">
        <f>IF(A36="","",'&lt;高橋敦&gt;報告. 1910'!BE36)</f>
        <v>0</v>
      </c>
      <c r="M36" s="552">
        <f>IF(A36="","",'&lt;高橋敦&gt;報告. 1910'!BH36)</f>
        <v>4.7083333333333339</v>
      </c>
      <c r="N36" s="312"/>
      <c r="O36" s="55" t="str">
        <f>IF(A36="","",'&lt;高橋敦&gt;報告. 1910'!BS36)</f>
        <v>-14:30</v>
      </c>
      <c r="P36" s="708"/>
      <c r="Q36" s="708"/>
      <c r="R36" s="709"/>
      <c r="S36" s="710"/>
      <c r="T36" s="65"/>
      <c r="U36" s="45">
        <f t="shared" si="2"/>
        <v>0</v>
      </c>
      <c r="V36" s="62" t="b">
        <f t="shared" si="42"/>
        <v>0</v>
      </c>
      <c r="W36" s="62"/>
      <c r="X36" s="110">
        <f>'&lt;高橋敦&gt;報告. 1910'!A36</f>
        <v>43765</v>
      </c>
      <c r="Y36" s="111">
        <f t="shared" si="43"/>
        <v>0</v>
      </c>
      <c r="Z36" s="111">
        <f t="shared" si="3"/>
        <v>0</v>
      </c>
      <c r="AA36" s="111">
        <f t="shared" si="44"/>
        <v>0</v>
      </c>
      <c r="AB36" s="77">
        <f t="shared" si="4"/>
        <v>0</v>
      </c>
      <c r="AC36" s="112">
        <f t="shared" si="5"/>
        <v>0</v>
      </c>
      <c r="AD36" s="111">
        <f t="shared" si="6"/>
        <v>0</v>
      </c>
      <c r="AE36" s="77">
        <f t="shared" si="7"/>
        <v>0</v>
      </c>
      <c r="AF36" s="113">
        <f t="shared" si="8"/>
        <v>0</v>
      </c>
      <c r="AG36" s="77">
        <f t="shared" si="9"/>
        <v>0</v>
      </c>
      <c r="AH36" s="77">
        <f t="shared" si="45"/>
        <v>0</v>
      </c>
      <c r="AI36" s="112">
        <f t="shared" si="10"/>
        <v>0</v>
      </c>
      <c r="AJ36" s="77">
        <f t="shared" si="11"/>
        <v>0</v>
      </c>
      <c r="AK36" s="77">
        <f t="shared" si="12"/>
        <v>0</v>
      </c>
      <c r="AL36" s="112">
        <f t="shared" si="13"/>
        <v>0</v>
      </c>
      <c r="AM36" s="77">
        <f t="shared" si="14"/>
        <v>0</v>
      </c>
      <c r="AN36" s="77">
        <f t="shared" si="15"/>
        <v>0</v>
      </c>
      <c r="AO36" s="112">
        <f t="shared" si="16"/>
        <v>0</v>
      </c>
      <c r="AP36" s="77">
        <f t="shared" si="17"/>
        <v>0</v>
      </c>
      <c r="AQ36" s="77">
        <f t="shared" si="18"/>
        <v>0</v>
      </c>
      <c r="AR36" s="112">
        <f t="shared" si="19"/>
        <v>0</v>
      </c>
      <c r="AS36" s="77">
        <f t="shared" si="20"/>
        <v>0</v>
      </c>
      <c r="AT36" s="77">
        <f t="shared" si="21"/>
        <v>0</v>
      </c>
      <c r="AU36" s="112">
        <f t="shared" si="22"/>
        <v>0</v>
      </c>
      <c r="AV36" s="77">
        <f t="shared" si="23"/>
        <v>0</v>
      </c>
      <c r="AW36" s="77">
        <f t="shared" si="24"/>
        <v>0</v>
      </c>
      <c r="AX36" s="112">
        <f t="shared" si="25"/>
        <v>0</v>
      </c>
      <c r="AY36" s="114">
        <f>IF('&lt;高橋敦&gt;報告. 1910'!G36='&lt;高橋敦&gt;報告. 1910'!$AY$9,'&lt;高橋敦&gt;報告. 1910'!$X$4,0)</f>
        <v>0</v>
      </c>
      <c r="AZ36" s="115">
        <f>IF(ISNUMBER('&lt;高橋敦&gt;報告. 1910'!I36),'&lt;高橋敦&gt;報告. 1910'!I36,0)*24*60</f>
        <v>0</v>
      </c>
      <c r="BA36" s="115">
        <f>'&lt;高橋敦&gt;報告. 1910'!H36*24*60</f>
        <v>0</v>
      </c>
      <c r="BB36" s="115">
        <f t="shared" si="26"/>
        <v>0</v>
      </c>
      <c r="BC36" s="116">
        <f t="shared" si="27"/>
        <v>0</v>
      </c>
      <c r="BD36" s="111">
        <f t="shared" si="46"/>
        <v>0</v>
      </c>
      <c r="BE36" s="117">
        <f t="shared" si="28"/>
        <v>0</v>
      </c>
      <c r="BF36" s="117">
        <f t="shared" si="29"/>
        <v>0</v>
      </c>
      <c r="BG36" s="118">
        <f>SUM(BD$10:BD36)</f>
        <v>6780</v>
      </c>
      <c r="BH36" s="119">
        <f>SUM(BE$10:BE36)</f>
        <v>4.7083333333333339</v>
      </c>
      <c r="BI36" s="120">
        <f>IF('&lt;高橋敦&gt;報告. 1910'!U36=1,'&lt;高橋敦&gt;報告. 1910'!$X$4,0)</f>
        <v>0</v>
      </c>
      <c r="BJ36" s="117">
        <f t="shared" si="30"/>
        <v>0</v>
      </c>
      <c r="BK36" s="120">
        <f>SUM(BI$10:BI36)</f>
        <v>7650</v>
      </c>
      <c r="BL36" s="119">
        <f>SUM(BJ$10:BJ36)</f>
        <v>5.3125</v>
      </c>
      <c r="BM36" s="120">
        <f t="shared" si="31"/>
        <v>0</v>
      </c>
      <c r="BN36" s="121" t="str">
        <f t="shared" si="32"/>
        <v/>
      </c>
      <c r="BO36" s="119">
        <f t="shared" si="47"/>
        <v>0</v>
      </c>
      <c r="BP36" s="120">
        <f>SUM(BM$10:BM36)</f>
        <v>-870</v>
      </c>
      <c r="BQ36" s="121" t="str">
        <f t="shared" si="33"/>
        <v>-</v>
      </c>
      <c r="BR36" s="122">
        <f t="shared" si="34"/>
        <v>870</v>
      </c>
      <c r="BS36" s="299" t="str">
        <f>IF(SUM($BO$10:BO36)&lt;0,TEXT(ABS(SUM($BO$10:BO36)),"-[h]:mm"),SUM($BO$10:BO36))</f>
        <v>-14:30</v>
      </c>
      <c r="BT36" s="124"/>
      <c r="BU36" s="123">
        <f t="shared" si="48"/>
        <v>0</v>
      </c>
      <c r="BV36" s="123">
        <f t="shared" si="51"/>
        <v>0</v>
      </c>
      <c r="BW36" s="123">
        <f t="shared" si="35"/>
        <v>0</v>
      </c>
      <c r="BX36" s="123">
        <f t="shared" si="36"/>
        <v>0</v>
      </c>
      <c r="BY36" s="123">
        <f t="shared" si="37"/>
        <v>0</v>
      </c>
      <c r="BZ36" s="123">
        <f t="shared" si="38"/>
        <v>0</v>
      </c>
      <c r="CA36" s="123">
        <f t="shared" si="39"/>
        <v>0</v>
      </c>
      <c r="CB36" s="123">
        <f t="shared" si="40"/>
        <v>0</v>
      </c>
      <c r="CC36" s="123">
        <f t="shared" si="49"/>
        <v>0</v>
      </c>
      <c r="CD36" s="74"/>
      <c r="CE36" s="123">
        <f t="shared" si="41"/>
        <v>0</v>
      </c>
    </row>
    <row r="37" spans="1:110" ht="18" customHeight="1">
      <c r="A37" s="488">
        <f t="shared" si="53"/>
        <v>43766</v>
      </c>
      <c r="B37" s="317">
        <f t="shared" si="1"/>
        <v>2</v>
      </c>
      <c r="C37" s="66"/>
      <c r="D37" s="542">
        <v>0.39583333333333331</v>
      </c>
      <c r="E37" s="469" t="str">
        <f t="shared" si="52"/>
        <v>～</v>
      </c>
      <c r="F37" s="545">
        <v>0.75</v>
      </c>
      <c r="G37" s="456"/>
      <c r="H37" s="559"/>
      <c r="I37" s="556"/>
      <c r="J37" s="314">
        <f>IF(A37="","",'&lt;高橋敦&gt;報告. 1910'!BJ37)</f>
        <v>0.3125</v>
      </c>
      <c r="K37" s="54">
        <f>IF(A37="","",TIME(0,'&lt;高橋敦&gt;報告. 1910'!BC37,0))</f>
        <v>0.3125</v>
      </c>
      <c r="L37" s="549">
        <f>IF(A37="","",'&lt;高橋敦&gt;報告. 1910'!BE37)</f>
        <v>0.3125</v>
      </c>
      <c r="M37" s="552">
        <f>IF(A37="","",'&lt;高橋敦&gt;報告. 1910'!BH37)</f>
        <v>5.0208333333333339</v>
      </c>
      <c r="N37" s="312"/>
      <c r="O37" s="55" t="str">
        <f>IF(A37="","",'&lt;高橋敦&gt;報告. 1910'!BS37)</f>
        <v>-14:30</v>
      </c>
      <c r="P37" s="708"/>
      <c r="Q37" s="708"/>
      <c r="R37" s="709"/>
      <c r="S37" s="710"/>
      <c r="T37" s="65"/>
      <c r="U37" s="45">
        <f t="shared" si="2"/>
        <v>1</v>
      </c>
      <c r="V37" s="62" t="b">
        <f t="shared" si="42"/>
        <v>0</v>
      </c>
      <c r="W37" s="62"/>
      <c r="X37" s="110">
        <f>'&lt;高橋敦&gt;報告. 1910'!A37</f>
        <v>43766</v>
      </c>
      <c r="Y37" s="111">
        <f t="shared" si="43"/>
        <v>570</v>
      </c>
      <c r="Z37" s="111">
        <f t="shared" si="3"/>
        <v>570</v>
      </c>
      <c r="AA37" s="111">
        <f t="shared" si="44"/>
        <v>1080</v>
      </c>
      <c r="AB37" s="77">
        <f t="shared" si="4"/>
        <v>1080</v>
      </c>
      <c r="AC37" s="112">
        <f t="shared" si="5"/>
        <v>0</v>
      </c>
      <c r="AD37" s="111">
        <f t="shared" si="6"/>
        <v>570</v>
      </c>
      <c r="AE37" s="77">
        <f t="shared" si="7"/>
        <v>720</v>
      </c>
      <c r="AF37" s="113">
        <f t="shared" si="8"/>
        <v>150</v>
      </c>
      <c r="AG37" s="77">
        <f t="shared" si="9"/>
        <v>780</v>
      </c>
      <c r="AH37" s="77">
        <f t="shared" si="45"/>
        <v>1080</v>
      </c>
      <c r="AI37" s="112">
        <f t="shared" si="10"/>
        <v>300</v>
      </c>
      <c r="AJ37" s="77">
        <f t="shared" si="11"/>
        <v>1200</v>
      </c>
      <c r="AK37" s="77">
        <f t="shared" si="12"/>
        <v>1080</v>
      </c>
      <c r="AL37" s="112">
        <f t="shared" si="13"/>
        <v>0</v>
      </c>
      <c r="AM37" s="77">
        <f t="shared" si="14"/>
        <v>1500</v>
      </c>
      <c r="AN37" s="77">
        <f t="shared" si="15"/>
        <v>1080</v>
      </c>
      <c r="AO37" s="112">
        <f t="shared" si="16"/>
        <v>0</v>
      </c>
      <c r="AP37" s="77">
        <f t="shared" si="17"/>
        <v>1860</v>
      </c>
      <c r="AQ37" s="77">
        <f t="shared" si="18"/>
        <v>1080</v>
      </c>
      <c r="AR37" s="112">
        <f t="shared" si="19"/>
        <v>0</v>
      </c>
      <c r="AS37" s="77">
        <f t="shared" si="20"/>
        <v>1980</v>
      </c>
      <c r="AT37" s="77">
        <f t="shared" si="21"/>
        <v>1080</v>
      </c>
      <c r="AU37" s="112">
        <f t="shared" si="22"/>
        <v>0</v>
      </c>
      <c r="AV37" s="77">
        <f t="shared" si="23"/>
        <v>1980</v>
      </c>
      <c r="AW37" s="77">
        <f t="shared" si="24"/>
        <v>1080</v>
      </c>
      <c r="AX37" s="112">
        <f t="shared" si="25"/>
        <v>0</v>
      </c>
      <c r="AY37" s="114">
        <f>IF('&lt;高橋敦&gt;報告. 1910'!G37='&lt;高橋敦&gt;報告. 1910'!$AY$9,'&lt;高橋敦&gt;報告. 1910'!$X$4,0)</f>
        <v>0</v>
      </c>
      <c r="AZ37" s="115">
        <f>IF(ISNUMBER('&lt;高橋敦&gt;報告. 1910'!I37),'&lt;高橋敦&gt;報告. 1910'!I37,0)*24*60</f>
        <v>0</v>
      </c>
      <c r="BA37" s="115">
        <f>'&lt;高橋敦&gt;報告. 1910'!H37*24*60</f>
        <v>0</v>
      </c>
      <c r="BB37" s="115">
        <f t="shared" si="26"/>
        <v>0</v>
      </c>
      <c r="BC37" s="116">
        <f t="shared" si="27"/>
        <v>450</v>
      </c>
      <c r="BD37" s="111">
        <f t="shared" si="46"/>
        <v>450</v>
      </c>
      <c r="BE37" s="117">
        <f t="shared" si="28"/>
        <v>0.3125</v>
      </c>
      <c r="BF37" s="117">
        <f t="shared" si="29"/>
        <v>0.3125</v>
      </c>
      <c r="BG37" s="118">
        <f>SUM(BD$10:BD37)</f>
        <v>7230</v>
      </c>
      <c r="BH37" s="119">
        <f>SUM(BE$10:BE37)</f>
        <v>5.0208333333333339</v>
      </c>
      <c r="BI37" s="120">
        <f>IF('&lt;高橋敦&gt;報告. 1910'!U37=1,'&lt;高橋敦&gt;報告. 1910'!$X$4,0)</f>
        <v>450</v>
      </c>
      <c r="BJ37" s="117">
        <f t="shared" si="30"/>
        <v>0.3125</v>
      </c>
      <c r="BK37" s="120">
        <f>SUM(BI$10:BI37)</f>
        <v>8100</v>
      </c>
      <c r="BL37" s="119">
        <f>SUM(BJ$10:BJ37)</f>
        <v>5.625</v>
      </c>
      <c r="BM37" s="120">
        <f t="shared" si="31"/>
        <v>0</v>
      </c>
      <c r="BN37" s="121" t="str">
        <f t="shared" si="32"/>
        <v/>
      </c>
      <c r="BO37" s="119">
        <f t="shared" si="47"/>
        <v>0</v>
      </c>
      <c r="BP37" s="120">
        <f>SUM(BM$10:BM37)</f>
        <v>-870</v>
      </c>
      <c r="BQ37" s="121" t="str">
        <f t="shared" si="33"/>
        <v>-</v>
      </c>
      <c r="BR37" s="122">
        <f t="shared" si="34"/>
        <v>870</v>
      </c>
      <c r="BS37" s="299" t="str">
        <f>IF(SUM($BO$10:BO37)&lt;0,TEXT(ABS(SUM($BO$10:BO37)),"-[h]:mm"),SUM($BO$10:BO37))</f>
        <v>-14:30</v>
      </c>
      <c r="BT37" s="124"/>
      <c r="BU37" s="123">
        <f t="shared" si="48"/>
        <v>60</v>
      </c>
      <c r="BV37" s="123">
        <f t="shared" si="51"/>
        <v>60</v>
      </c>
      <c r="BW37" s="123">
        <f t="shared" si="35"/>
        <v>0</v>
      </c>
      <c r="BX37" s="123">
        <f t="shared" si="36"/>
        <v>0</v>
      </c>
      <c r="BY37" s="123">
        <f t="shared" si="37"/>
        <v>0</v>
      </c>
      <c r="BZ37" s="123">
        <f t="shared" si="38"/>
        <v>0</v>
      </c>
      <c r="CA37" s="123">
        <f t="shared" si="39"/>
        <v>0</v>
      </c>
      <c r="CB37" s="123">
        <f t="shared" si="40"/>
        <v>0</v>
      </c>
      <c r="CC37" s="123">
        <f t="shared" si="49"/>
        <v>0</v>
      </c>
      <c r="CD37" s="74"/>
      <c r="CE37" s="123">
        <f t="shared" si="41"/>
        <v>6</v>
      </c>
    </row>
    <row r="38" spans="1:110" ht="18" customHeight="1">
      <c r="A38" s="488">
        <f t="shared" si="53"/>
        <v>43767</v>
      </c>
      <c r="B38" s="317">
        <f t="shared" si="1"/>
        <v>3</v>
      </c>
      <c r="C38" s="66"/>
      <c r="D38" s="542">
        <v>0.39583333333333331</v>
      </c>
      <c r="E38" s="469" t="str">
        <f t="shared" si="52"/>
        <v>～</v>
      </c>
      <c r="F38" s="545">
        <v>0.83333333333333337</v>
      </c>
      <c r="G38" s="456"/>
      <c r="H38" s="559"/>
      <c r="I38" s="556"/>
      <c r="J38" s="314">
        <f>IF(A38="","",'&lt;高橋敦&gt;報告. 1910'!BJ38)</f>
        <v>0.3125</v>
      </c>
      <c r="K38" s="54">
        <f>IF(A38="","",TIME(0,'&lt;高橋敦&gt;報告. 1910'!BC38,0))</f>
        <v>0.375</v>
      </c>
      <c r="L38" s="549">
        <f>IF(A38="","",'&lt;高橋敦&gt;報告. 1910'!BE38)</f>
        <v>0.375</v>
      </c>
      <c r="M38" s="552">
        <f>IF(A38="","",'&lt;高橋敦&gt;報告. 1910'!BH38)</f>
        <v>5.3958333333333339</v>
      </c>
      <c r="N38" s="312"/>
      <c r="O38" s="55" t="str">
        <f>IF(A38="","",'&lt;高橋敦&gt;報告. 1910'!BS38)</f>
        <v>-13:00</v>
      </c>
      <c r="P38" s="708"/>
      <c r="Q38" s="708"/>
      <c r="R38" s="709"/>
      <c r="S38" s="710"/>
      <c r="T38" s="65"/>
      <c r="U38" s="45">
        <f t="shared" si="2"/>
        <v>1</v>
      </c>
      <c r="V38" s="62" t="b">
        <f t="shared" si="42"/>
        <v>0</v>
      </c>
      <c r="W38" s="62"/>
      <c r="X38" s="110">
        <f>'&lt;高橋敦&gt;報告. 1910'!A38</f>
        <v>43767</v>
      </c>
      <c r="Y38" s="111">
        <f t="shared" si="43"/>
        <v>570</v>
      </c>
      <c r="Z38" s="111">
        <f t="shared" si="3"/>
        <v>570</v>
      </c>
      <c r="AA38" s="111">
        <f t="shared" si="44"/>
        <v>1200</v>
      </c>
      <c r="AB38" s="77">
        <f t="shared" si="4"/>
        <v>1200</v>
      </c>
      <c r="AC38" s="112">
        <f t="shared" si="5"/>
        <v>0</v>
      </c>
      <c r="AD38" s="111">
        <f t="shared" si="6"/>
        <v>570</v>
      </c>
      <c r="AE38" s="77">
        <f t="shared" si="7"/>
        <v>720</v>
      </c>
      <c r="AF38" s="113">
        <f t="shared" si="8"/>
        <v>150</v>
      </c>
      <c r="AG38" s="77">
        <f t="shared" si="9"/>
        <v>780</v>
      </c>
      <c r="AH38" s="77">
        <f t="shared" si="45"/>
        <v>1170</v>
      </c>
      <c r="AI38" s="112">
        <f t="shared" si="10"/>
        <v>390</v>
      </c>
      <c r="AJ38" s="77">
        <f t="shared" si="11"/>
        <v>1200</v>
      </c>
      <c r="AK38" s="77">
        <f t="shared" si="12"/>
        <v>1200</v>
      </c>
      <c r="AL38" s="112">
        <f t="shared" si="13"/>
        <v>0</v>
      </c>
      <c r="AM38" s="77">
        <f t="shared" si="14"/>
        <v>1500</v>
      </c>
      <c r="AN38" s="77">
        <f t="shared" si="15"/>
        <v>1200</v>
      </c>
      <c r="AO38" s="112">
        <f t="shared" si="16"/>
        <v>0</v>
      </c>
      <c r="AP38" s="77">
        <f t="shared" si="17"/>
        <v>1860</v>
      </c>
      <c r="AQ38" s="77">
        <f t="shared" si="18"/>
        <v>1200</v>
      </c>
      <c r="AR38" s="112">
        <f t="shared" si="19"/>
        <v>0</v>
      </c>
      <c r="AS38" s="77">
        <f t="shared" si="20"/>
        <v>1980</v>
      </c>
      <c r="AT38" s="77">
        <f t="shared" si="21"/>
        <v>1200</v>
      </c>
      <c r="AU38" s="112">
        <f t="shared" si="22"/>
        <v>0</v>
      </c>
      <c r="AV38" s="77">
        <f t="shared" si="23"/>
        <v>1980</v>
      </c>
      <c r="AW38" s="77">
        <f t="shared" si="24"/>
        <v>1200</v>
      </c>
      <c r="AX38" s="112">
        <f t="shared" si="25"/>
        <v>0</v>
      </c>
      <c r="AY38" s="114">
        <f>IF('&lt;高橋敦&gt;報告. 1910'!G38='&lt;高橋敦&gt;報告. 1910'!$AY$9,'&lt;高橋敦&gt;報告. 1910'!$X$4,0)</f>
        <v>0</v>
      </c>
      <c r="AZ38" s="115">
        <f>IF(ISNUMBER('&lt;高橋敦&gt;報告. 1910'!I38),'&lt;高橋敦&gt;報告. 1910'!I38,0)*24*60</f>
        <v>0</v>
      </c>
      <c r="BA38" s="115">
        <f>'&lt;高橋敦&gt;報告. 1910'!H38*24*60</f>
        <v>0</v>
      </c>
      <c r="BB38" s="115">
        <f t="shared" si="26"/>
        <v>0</v>
      </c>
      <c r="BC38" s="116">
        <f t="shared" si="27"/>
        <v>540</v>
      </c>
      <c r="BD38" s="111">
        <f t="shared" si="46"/>
        <v>540</v>
      </c>
      <c r="BE38" s="117">
        <f t="shared" si="28"/>
        <v>0.375</v>
      </c>
      <c r="BF38" s="117">
        <f t="shared" si="29"/>
        <v>0.375</v>
      </c>
      <c r="BG38" s="118">
        <f>SUM(BD$10:BD38)</f>
        <v>7770</v>
      </c>
      <c r="BH38" s="119">
        <f>SUM(BE$10:BE38)</f>
        <v>5.3958333333333339</v>
      </c>
      <c r="BI38" s="120">
        <f>IF('&lt;高橋敦&gt;報告. 1910'!U38=1,'&lt;高橋敦&gt;報告. 1910'!$X$4,0)</f>
        <v>450</v>
      </c>
      <c r="BJ38" s="117">
        <f t="shared" si="30"/>
        <v>0.3125</v>
      </c>
      <c r="BK38" s="120">
        <f>SUM(BI$10:BI38)</f>
        <v>8550</v>
      </c>
      <c r="BL38" s="119">
        <f>SUM(BJ$10:BJ38)</f>
        <v>5.9375</v>
      </c>
      <c r="BM38" s="120">
        <f t="shared" si="31"/>
        <v>90</v>
      </c>
      <c r="BN38" s="121" t="str">
        <f t="shared" si="32"/>
        <v/>
      </c>
      <c r="BO38" s="119">
        <f t="shared" si="47"/>
        <v>6.25E-2</v>
      </c>
      <c r="BP38" s="120">
        <f>SUM(BM$10:BM38)</f>
        <v>-780</v>
      </c>
      <c r="BQ38" s="121" t="str">
        <f t="shared" si="33"/>
        <v>-</v>
      </c>
      <c r="BR38" s="122">
        <f t="shared" si="34"/>
        <v>780</v>
      </c>
      <c r="BS38" s="299" t="str">
        <f>IF(SUM($BO$10:BO38)&lt;0,TEXT(ABS(SUM($BO$10:BO38)),"-[h]:mm"),SUM($BO$10:BO38))</f>
        <v>-13:00</v>
      </c>
      <c r="BT38" s="124"/>
      <c r="BU38" s="123">
        <f t="shared" si="48"/>
        <v>90</v>
      </c>
      <c r="BV38" s="123">
        <f t="shared" si="51"/>
        <v>60</v>
      </c>
      <c r="BW38" s="123">
        <f t="shared" si="35"/>
        <v>30</v>
      </c>
      <c r="BX38" s="123">
        <f t="shared" si="36"/>
        <v>0</v>
      </c>
      <c r="BY38" s="123">
        <f t="shared" si="37"/>
        <v>0</v>
      </c>
      <c r="BZ38" s="123">
        <f t="shared" si="38"/>
        <v>0</v>
      </c>
      <c r="CA38" s="123">
        <f t="shared" si="39"/>
        <v>0</v>
      </c>
      <c r="CB38" s="123">
        <f t="shared" si="40"/>
        <v>0</v>
      </c>
      <c r="CC38" s="123">
        <f t="shared" si="49"/>
        <v>0</v>
      </c>
      <c r="CD38" s="74"/>
      <c r="CE38" s="123">
        <f t="shared" si="41"/>
        <v>8</v>
      </c>
    </row>
    <row r="39" spans="1:110" ht="18" customHeight="1">
      <c r="A39" s="488">
        <f t="shared" si="53"/>
        <v>43768</v>
      </c>
      <c r="B39" s="317">
        <f t="shared" si="1"/>
        <v>4</v>
      </c>
      <c r="C39" s="66"/>
      <c r="D39" s="542">
        <v>0.41666666666666669</v>
      </c>
      <c r="E39" s="469" t="str">
        <f t="shared" si="52"/>
        <v>～</v>
      </c>
      <c r="F39" s="545">
        <v>0.75</v>
      </c>
      <c r="G39" s="456"/>
      <c r="H39" s="559"/>
      <c r="I39" s="556"/>
      <c r="J39" s="314">
        <f>IF(A39="","",'&lt;高橋敦&gt;報告. 1910'!BJ39)</f>
        <v>0.3125</v>
      </c>
      <c r="K39" s="54">
        <f>IF(A39="","",TIME(0,'&lt;高橋敦&gt;報告. 1910'!BC39,0))</f>
        <v>0.29166666666666669</v>
      </c>
      <c r="L39" s="549">
        <f>IF(A39="","",'&lt;高橋敦&gt;報告. 1910'!BE39)</f>
        <v>0.29166666666666669</v>
      </c>
      <c r="M39" s="552">
        <f>IF(A39="","",'&lt;高橋敦&gt;報告. 1910'!BH39)</f>
        <v>5.6875000000000009</v>
      </c>
      <c r="N39" s="312"/>
      <c r="O39" s="55" t="str">
        <f>IF(A39="","",'&lt;高橋敦&gt;報告. 1910'!BS39)</f>
        <v>-13:30</v>
      </c>
      <c r="P39" s="708"/>
      <c r="Q39" s="708"/>
      <c r="R39" s="709"/>
      <c r="S39" s="710"/>
      <c r="T39" s="65"/>
      <c r="U39" s="45">
        <f t="shared" si="2"/>
        <v>1</v>
      </c>
      <c r="V39" s="62" t="b">
        <f t="shared" si="42"/>
        <v>0</v>
      </c>
      <c r="W39" s="62"/>
      <c r="X39" s="110">
        <f>'&lt;高橋敦&gt;報告. 1910'!A39</f>
        <v>43768</v>
      </c>
      <c r="Y39" s="111">
        <f t="shared" si="43"/>
        <v>600</v>
      </c>
      <c r="Z39" s="111">
        <f t="shared" si="3"/>
        <v>600</v>
      </c>
      <c r="AA39" s="111">
        <f t="shared" si="44"/>
        <v>1080</v>
      </c>
      <c r="AB39" s="77">
        <f t="shared" si="4"/>
        <v>1080</v>
      </c>
      <c r="AC39" s="112">
        <f t="shared" si="5"/>
        <v>0</v>
      </c>
      <c r="AD39" s="111">
        <f t="shared" si="6"/>
        <v>600</v>
      </c>
      <c r="AE39" s="77">
        <f t="shared" si="7"/>
        <v>720</v>
      </c>
      <c r="AF39" s="113">
        <f t="shared" si="8"/>
        <v>120</v>
      </c>
      <c r="AG39" s="77">
        <f t="shared" si="9"/>
        <v>780</v>
      </c>
      <c r="AH39" s="77">
        <f t="shared" si="45"/>
        <v>1080</v>
      </c>
      <c r="AI39" s="112">
        <f t="shared" si="10"/>
        <v>300</v>
      </c>
      <c r="AJ39" s="77">
        <f t="shared" si="11"/>
        <v>1200</v>
      </c>
      <c r="AK39" s="77">
        <f t="shared" si="12"/>
        <v>1080</v>
      </c>
      <c r="AL39" s="112">
        <f t="shared" si="13"/>
        <v>0</v>
      </c>
      <c r="AM39" s="77">
        <f t="shared" si="14"/>
        <v>1500</v>
      </c>
      <c r="AN39" s="77">
        <f t="shared" si="15"/>
        <v>1080</v>
      </c>
      <c r="AO39" s="112">
        <f t="shared" si="16"/>
        <v>0</v>
      </c>
      <c r="AP39" s="77">
        <f t="shared" si="17"/>
        <v>1860</v>
      </c>
      <c r="AQ39" s="77">
        <f t="shared" si="18"/>
        <v>1080</v>
      </c>
      <c r="AR39" s="112">
        <f t="shared" si="19"/>
        <v>0</v>
      </c>
      <c r="AS39" s="77">
        <f t="shared" si="20"/>
        <v>1980</v>
      </c>
      <c r="AT39" s="77">
        <f t="shared" si="21"/>
        <v>1080</v>
      </c>
      <c r="AU39" s="112">
        <f t="shared" si="22"/>
        <v>0</v>
      </c>
      <c r="AV39" s="77">
        <f t="shared" si="23"/>
        <v>1980</v>
      </c>
      <c r="AW39" s="77">
        <f t="shared" si="24"/>
        <v>1080</v>
      </c>
      <c r="AX39" s="112">
        <f t="shared" si="25"/>
        <v>0</v>
      </c>
      <c r="AY39" s="114">
        <f>IF('&lt;高橋敦&gt;報告. 1910'!G39='&lt;高橋敦&gt;報告. 1910'!$AY$9,'&lt;高橋敦&gt;報告. 1910'!$X$4,0)</f>
        <v>0</v>
      </c>
      <c r="AZ39" s="115">
        <f>IF(ISNUMBER('&lt;高橋敦&gt;報告. 1910'!I39),'&lt;高橋敦&gt;報告. 1910'!I39,0)*24*60</f>
        <v>0</v>
      </c>
      <c r="BA39" s="115">
        <f>'&lt;高橋敦&gt;報告. 1910'!H39*24*60</f>
        <v>0</v>
      </c>
      <c r="BB39" s="115">
        <f t="shared" si="26"/>
        <v>0</v>
      </c>
      <c r="BC39" s="116">
        <f t="shared" si="27"/>
        <v>420</v>
      </c>
      <c r="BD39" s="111">
        <f t="shared" si="46"/>
        <v>420</v>
      </c>
      <c r="BE39" s="117">
        <f t="shared" si="28"/>
        <v>0.29166666666666669</v>
      </c>
      <c r="BF39" s="117">
        <f t="shared" si="29"/>
        <v>0.29166666666666669</v>
      </c>
      <c r="BG39" s="118">
        <f>SUM(BD$10:BD39)</f>
        <v>8190</v>
      </c>
      <c r="BH39" s="119">
        <f>SUM(BE$10:BE39)</f>
        <v>5.6875000000000009</v>
      </c>
      <c r="BI39" s="120">
        <f>IF('&lt;高橋敦&gt;報告. 1910'!U39=1,'&lt;高橋敦&gt;報告. 1910'!$X$4,0)</f>
        <v>450</v>
      </c>
      <c r="BJ39" s="117">
        <f t="shared" si="30"/>
        <v>0.3125</v>
      </c>
      <c r="BK39" s="120">
        <f>SUM(BI$10:BI39)</f>
        <v>9000</v>
      </c>
      <c r="BL39" s="119">
        <f>SUM(BJ$10:BJ39)</f>
        <v>6.25</v>
      </c>
      <c r="BM39" s="120">
        <f t="shared" si="31"/>
        <v>-30</v>
      </c>
      <c r="BN39" s="121" t="str">
        <f t="shared" si="32"/>
        <v>-</v>
      </c>
      <c r="BO39" s="119">
        <f t="shared" si="47"/>
        <v>-2.0833333333333315E-2</v>
      </c>
      <c r="BP39" s="120">
        <f>SUM(BM$10:BM39)</f>
        <v>-810</v>
      </c>
      <c r="BQ39" s="121" t="str">
        <f t="shared" si="33"/>
        <v>-</v>
      </c>
      <c r="BR39" s="122">
        <f t="shared" si="34"/>
        <v>810</v>
      </c>
      <c r="BS39" s="299" t="str">
        <f>IF(SUM($BO$10:BO39)&lt;0,TEXT(ABS(SUM($BO$10:BO39)),"-[h]:mm"),SUM($BO$10:BO39))</f>
        <v>-13:30</v>
      </c>
      <c r="BT39" s="124"/>
      <c r="BU39" s="123">
        <f t="shared" si="48"/>
        <v>60</v>
      </c>
      <c r="BV39" s="123">
        <f t="shared" si="51"/>
        <v>60</v>
      </c>
      <c r="BW39" s="123">
        <f t="shared" si="35"/>
        <v>0</v>
      </c>
      <c r="BX39" s="123">
        <f t="shared" si="36"/>
        <v>0</v>
      </c>
      <c r="BY39" s="123">
        <f t="shared" si="37"/>
        <v>0</v>
      </c>
      <c r="BZ39" s="123">
        <f t="shared" si="38"/>
        <v>0</v>
      </c>
      <c r="CA39" s="123">
        <f t="shared" si="39"/>
        <v>0</v>
      </c>
      <c r="CB39" s="123">
        <f t="shared" si="40"/>
        <v>0</v>
      </c>
      <c r="CC39" s="123">
        <f t="shared" si="49"/>
        <v>0</v>
      </c>
      <c r="CD39" s="74"/>
      <c r="CE39" s="123">
        <f t="shared" si="41"/>
        <v>6</v>
      </c>
    </row>
    <row r="40" spans="1:110" ht="18" customHeight="1" thickBot="1">
      <c r="A40" s="489">
        <f t="shared" si="53"/>
        <v>43769</v>
      </c>
      <c r="B40" s="328">
        <f t="shared" si="1"/>
        <v>5</v>
      </c>
      <c r="C40" s="329"/>
      <c r="D40" s="544">
        <v>0.45833333333333331</v>
      </c>
      <c r="E40" s="470" t="str">
        <f>IF(A40="","","～")</f>
        <v>～</v>
      </c>
      <c r="F40" s="547">
        <v>0.75</v>
      </c>
      <c r="G40" s="458"/>
      <c r="H40" s="560"/>
      <c r="I40" s="557"/>
      <c r="J40" s="330">
        <f>IF(A40="","",'&lt;高橋敦&gt;報告. 1910'!BJ40)</f>
        <v>0.3125</v>
      </c>
      <c r="K40" s="331">
        <f>IF(A40="","",TIME(0,'&lt;高橋敦&gt;報告. 1910'!BC40,0))</f>
        <v>0.25</v>
      </c>
      <c r="L40" s="550">
        <f>IF(A40="","",'&lt;高橋敦&gt;報告. 1910'!BE40)</f>
        <v>0.25</v>
      </c>
      <c r="M40" s="553">
        <f>IF(A40="","",'&lt;高橋敦&gt;報告. 1910'!BH40)</f>
        <v>5.9375000000000009</v>
      </c>
      <c r="N40" s="332"/>
      <c r="O40" s="333" t="str">
        <f>IF(A40="","",'&lt;高橋敦&gt;報告. 1910'!BS40)</f>
        <v>-15:00</v>
      </c>
      <c r="P40" s="711"/>
      <c r="Q40" s="711"/>
      <c r="R40" s="712"/>
      <c r="S40" s="713"/>
      <c r="T40" s="65"/>
      <c r="U40" s="45">
        <f t="shared" si="2"/>
        <v>1</v>
      </c>
      <c r="V40" s="62" t="b">
        <f t="shared" si="42"/>
        <v>0</v>
      </c>
      <c r="W40" s="62"/>
      <c r="X40" s="338">
        <f>'&lt;高橋敦&gt;報告. 1910'!A40</f>
        <v>43769</v>
      </c>
      <c r="Y40" s="82">
        <f t="shared" si="43"/>
        <v>660</v>
      </c>
      <c r="Z40" s="82">
        <f t="shared" si="3"/>
        <v>660</v>
      </c>
      <c r="AA40" s="82">
        <f t="shared" si="44"/>
        <v>1080</v>
      </c>
      <c r="AB40" s="83">
        <f t="shared" si="4"/>
        <v>1080</v>
      </c>
      <c r="AC40" s="339">
        <f t="shared" si="5"/>
        <v>0</v>
      </c>
      <c r="AD40" s="82">
        <f t="shared" si="6"/>
        <v>660</v>
      </c>
      <c r="AE40" s="83">
        <f t="shared" si="7"/>
        <v>720</v>
      </c>
      <c r="AF40" s="340">
        <f t="shared" si="8"/>
        <v>60</v>
      </c>
      <c r="AG40" s="83">
        <f t="shared" si="9"/>
        <v>780</v>
      </c>
      <c r="AH40" s="83">
        <f t="shared" si="45"/>
        <v>1080</v>
      </c>
      <c r="AI40" s="339">
        <f t="shared" si="10"/>
        <v>300</v>
      </c>
      <c r="AJ40" s="83">
        <f t="shared" si="11"/>
        <v>1200</v>
      </c>
      <c r="AK40" s="83">
        <f t="shared" si="12"/>
        <v>1080</v>
      </c>
      <c r="AL40" s="339">
        <f t="shared" si="13"/>
        <v>0</v>
      </c>
      <c r="AM40" s="83">
        <f t="shared" si="14"/>
        <v>1500</v>
      </c>
      <c r="AN40" s="83">
        <f t="shared" si="15"/>
        <v>1080</v>
      </c>
      <c r="AO40" s="339">
        <f t="shared" si="16"/>
        <v>0</v>
      </c>
      <c r="AP40" s="83">
        <f t="shared" si="17"/>
        <v>1860</v>
      </c>
      <c r="AQ40" s="83">
        <f t="shared" si="18"/>
        <v>1080</v>
      </c>
      <c r="AR40" s="339">
        <f t="shared" si="19"/>
        <v>0</v>
      </c>
      <c r="AS40" s="83">
        <f t="shared" si="20"/>
        <v>1980</v>
      </c>
      <c r="AT40" s="83">
        <f t="shared" si="21"/>
        <v>1080</v>
      </c>
      <c r="AU40" s="339">
        <f t="shared" si="22"/>
        <v>0</v>
      </c>
      <c r="AV40" s="83">
        <f t="shared" si="23"/>
        <v>1980</v>
      </c>
      <c r="AW40" s="83">
        <f t="shared" si="24"/>
        <v>1080</v>
      </c>
      <c r="AX40" s="339">
        <f t="shared" si="25"/>
        <v>0</v>
      </c>
      <c r="AY40" s="341">
        <f>IF('&lt;高橋敦&gt;報告. 1910'!G40='&lt;高橋敦&gt;報告. 1910'!$AY$9,'&lt;高橋敦&gt;報告. 1910'!$X$4,0)</f>
        <v>0</v>
      </c>
      <c r="AZ40" s="342">
        <f>IF(ISNUMBER('&lt;高橋敦&gt;報告. 1910'!I40),'&lt;高橋敦&gt;報告. 1910'!I40,0)*24*60</f>
        <v>0</v>
      </c>
      <c r="BA40" s="342">
        <f>'&lt;高橋敦&gt;報告. 1910'!H40*24*60</f>
        <v>0</v>
      </c>
      <c r="BB40" s="115">
        <f t="shared" si="26"/>
        <v>0</v>
      </c>
      <c r="BC40" s="81">
        <f t="shared" si="27"/>
        <v>360</v>
      </c>
      <c r="BD40" s="111">
        <f t="shared" si="46"/>
        <v>360</v>
      </c>
      <c r="BE40" s="343">
        <f t="shared" si="28"/>
        <v>0.25</v>
      </c>
      <c r="BF40" s="343">
        <f t="shared" si="29"/>
        <v>0.25</v>
      </c>
      <c r="BG40" s="344">
        <f>SUM(BD$10:BD40)</f>
        <v>8550</v>
      </c>
      <c r="BH40" s="345">
        <f>SUM(BE$10:BE40)</f>
        <v>5.9375000000000009</v>
      </c>
      <c r="BI40" s="346">
        <f>IF('&lt;高橋敦&gt;報告. 1910'!U40=1,'&lt;高橋敦&gt;報告. 1910'!$X$4,0)</f>
        <v>450</v>
      </c>
      <c r="BJ40" s="343">
        <f t="shared" si="30"/>
        <v>0.3125</v>
      </c>
      <c r="BK40" s="346">
        <f>SUM(BI$10:BI40)</f>
        <v>9450</v>
      </c>
      <c r="BL40" s="345">
        <f>SUM(BJ$10:BJ40)</f>
        <v>6.5625</v>
      </c>
      <c r="BM40" s="346">
        <f t="shared" si="31"/>
        <v>-90</v>
      </c>
      <c r="BN40" s="347" t="str">
        <f t="shared" si="32"/>
        <v>-</v>
      </c>
      <c r="BO40" s="345">
        <f t="shared" si="47"/>
        <v>-6.25E-2</v>
      </c>
      <c r="BP40" s="346">
        <f>SUM(BM$10:BM40)</f>
        <v>-900</v>
      </c>
      <c r="BQ40" s="347" t="str">
        <f t="shared" si="33"/>
        <v>-</v>
      </c>
      <c r="BR40" s="348">
        <f t="shared" si="34"/>
        <v>900</v>
      </c>
      <c r="BS40" s="349" t="str">
        <f>IF(SUM($BO$10:BO40)&lt;0,TEXT(ABS(SUM($BO$10:BO40)),"-[h]:mm"),SUM($BO$10:BO40))</f>
        <v>-15:00</v>
      </c>
      <c r="BT40" s="124"/>
      <c r="BU40" s="125">
        <f t="shared" si="48"/>
        <v>60</v>
      </c>
      <c r="BV40" s="125">
        <f t="shared" si="51"/>
        <v>60</v>
      </c>
      <c r="BW40" s="125">
        <f t="shared" si="35"/>
        <v>0</v>
      </c>
      <c r="BX40" s="125">
        <f t="shared" si="36"/>
        <v>0</v>
      </c>
      <c r="BY40" s="125">
        <f t="shared" si="37"/>
        <v>0</v>
      </c>
      <c r="BZ40" s="125">
        <f t="shared" si="38"/>
        <v>0</v>
      </c>
      <c r="CA40" s="125">
        <f t="shared" si="39"/>
        <v>0</v>
      </c>
      <c r="CB40" s="125">
        <f t="shared" si="40"/>
        <v>0</v>
      </c>
      <c r="CC40" s="125">
        <f t="shared" si="49"/>
        <v>0</v>
      </c>
      <c r="CD40" s="74"/>
      <c r="CE40" s="125">
        <f t="shared" si="41"/>
        <v>6</v>
      </c>
    </row>
    <row r="41" spans="1:110" ht="19.5" customHeight="1" thickBot="1">
      <c r="A41" s="687" t="s">
        <v>253</v>
      </c>
      <c r="B41" s="688"/>
      <c r="C41" s="688"/>
      <c r="D41" s="689"/>
      <c r="E41" s="320">
        <f>COUNT(D10:D40)</f>
        <v>20</v>
      </c>
      <c r="F41" s="690" t="s">
        <v>43</v>
      </c>
      <c r="G41" s="691"/>
      <c r="H41" s="321">
        <f>SUM(H10:H40)</f>
        <v>0</v>
      </c>
      <c r="I41" s="322">
        <f>SUM(I10:I40)</f>
        <v>0</v>
      </c>
      <c r="J41" s="323">
        <f>SUM(J10:J40)</f>
        <v>6.5625</v>
      </c>
      <c r="K41" s="324">
        <f>SUM(K10:K40)</f>
        <v>5.9375000000000009</v>
      </c>
      <c r="L41" s="325"/>
      <c r="M41" s="536">
        <f>SUM(L10:L40)</f>
        <v>5.9375000000000009</v>
      </c>
      <c r="N41" s="326"/>
      <c r="O41" s="327" t="str">
        <f>'&lt;高橋敦&gt;報告. 1910'!BS41</f>
        <v>-15:00</v>
      </c>
      <c r="P41" s="692"/>
      <c r="Q41" s="693"/>
      <c r="R41" s="693"/>
      <c r="S41" s="694"/>
      <c r="T41" s="61"/>
      <c r="U41" s="45"/>
      <c r="V41" s="62"/>
      <c r="W41" s="62"/>
      <c r="X41" s="356" t="s">
        <v>118</v>
      </c>
      <c r="Y41" s="350"/>
      <c r="Z41" s="351"/>
      <c r="AA41" s="351"/>
      <c r="AB41" s="351"/>
      <c r="AC41" s="351"/>
      <c r="AD41" s="351"/>
      <c r="AE41" s="351"/>
      <c r="AF41" s="351"/>
      <c r="AG41" s="351"/>
      <c r="AH41" s="351"/>
      <c r="AI41" s="351"/>
      <c r="AJ41" s="351"/>
      <c r="AK41" s="351"/>
      <c r="AL41" s="351"/>
      <c r="AM41" s="351"/>
      <c r="AN41" s="351"/>
      <c r="AO41" s="351"/>
      <c r="AP41" s="351"/>
      <c r="AQ41" s="351"/>
      <c r="AR41" s="351"/>
      <c r="AS41" s="351"/>
      <c r="AT41" s="351"/>
      <c r="AU41" s="351"/>
      <c r="AV41" s="351"/>
      <c r="AW41" s="351"/>
      <c r="AX41" s="351"/>
      <c r="AY41" s="351"/>
      <c r="AZ41" s="352"/>
      <c r="BA41" s="352"/>
      <c r="BB41" s="351"/>
      <c r="BC41" s="351"/>
      <c r="BD41" s="351"/>
      <c r="BE41" s="351"/>
      <c r="BF41" s="351"/>
      <c r="BG41" s="353">
        <f>BH40</f>
        <v>5.9375000000000009</v>
      </c>
      <c r="BH41" s="351"/>
      <c r="BI41" s="351"/>
      <c r="BJ41" s="354"/>
      <c r="BK41" s="354"/>
      <c r="BL41" s="351"/>
      <c r="BM41" s="351"/>
      <c r="BN41" s="351"/>
      <c r="BO41" s="355"/>
      <c r="BP41" s="354" t="str">
        <f>IF(BP40&lt;0,"-","")</f>
        <v>-</v>
      </c>
      <c r="BQ41" s="354"/>
      <c r="BR41" s="355"/>
      <c r="BS41" s="357" t="str">
        <f>BS40</f>
        <v>-15:00</v>
      </c>
      <c r="BT41" s="74"/>
      <c r="BU41" s="74"/>
      <c r="BV41" s="74"/>
      <c r="BW41" s="74"/>
      <c r="BX41" s="74"/>
      <c r="BY41" s="74"/>
      <c r="BZ41" s="74"/>
      <c r="CA41" s="74"/>
      <c r="CB41" s="74"/>
      <c r="CC41" s="74"/>
      <c r="CD41" s="74"/>
      <c r="CE41" s="74"/>
    </row>
    <row r="42" spans="1:110" ht="8.25" customHeight="1" thickBot="1">
      <c r="E42" s="43"/>
      <c r="F42" s="43"/>
      <c r="G42" s="43"/>
      <c r="H42" s="43"/>
      <c r="I42" s="43"/>
      <c r="J42" s="43"/>
      <c r="K42" s="43"/>
      <c r="L42" s="43"/>
      <c r="M42" s="58"/>
      <c r="N42" s="60"/>
      <c r="O42" s="61"/>
      <c r="P42" s="61"/>
      <c r="Q42" s="61"/>
      <c r="R42" s="61"/>
      <c r="S42" s="61"/>
      <c r="T42" s="61"/>
      <c r="U42" s="45"/>
      <c r="V42" s="62"/>
      <c r="W42" s="62"/>
      <c r="Y42" s="127"/>
      <c r="CD42" s="74"/>
    </row>
    <row r="43" spans="1:110" s="126" customFormat="1" ht="16.5" customHeight="1" thickBot="1">
      <c r="A43" s="695" t="s">
        <v>239</v>
      </c>
      <c r="B43" s="696"/>
      <c r="C43" s="696"/>
      <c r="D43" s="697"/>
      <c r="M43" s="59"/>
      <c r="N43" s="59"/>
      <c r="O43" s="59"/>
      <c r="P43" s="308"/>
      <c r="Q43" s="308"/>
      <c r="R43" s="308"/>
      <c r="S43" s="308"/>
      <c r="T43" s="42"/>
      <c r="U43" s="59"/>
      <c r="V43" s="59"/>
      <c r="W43" s="59"/>
      <c r="X43" s="59"/>
      <c r="Y43" s="127"/>
      <c r="Z43" s="127"/>
      <c r="AA43" s="127"/>
      <c r="AB43" s="127"/>
      <c r="CH43" s="296"/>
      <c r="CI43" s="25"/>
      <c r="CJ43" s="25"/>
      <c r="CK43" s="26"/>
      <c r="CL43" s="28"/>
      <c r="CM43" s="26"/>
      <c r="CN43" s="28"/>
      <c r="CO43" s="28"/>
      <c r="CP43" s="28"/>
      <c r="CQ43" s="28"/>
      <c r="CR43" s="28"/>
      <c r="CS43" s="27"/>
      <c r="CT43" s="27"/>
      <c r="CU43" s="27"/>
      <c r="CV43" s="27"/>
      <c r="CW43" s="27"/>
      <c r="CX43" s="27"/>
      <c r="CY43" s="27"/>
      <c r="CZ43" s="27"/>
      <c r="DA43" s="27"/>
      <c r="DB43" s="27"/>
      <c r="DC43" s="27"/>
      <c r="DD43" s="27"/>
      <c r="DE43" s="27"/>
      <c r="DF43" s="27"/>
    </row>
    <row r="44" spans="1:110" s="126" customFormat="1" ht="16.5" customHeight="1">
      <c r="A44" s="698"/>
      <c r="B44" s="699"/>
      <c r="C44" s="699"/>
      <c r="D44" s="699"/>
      <c r="E44" s="699"/>
      <c r="F44" s="699"/>
      <c r="G44" s="699"/>
      <c r="H44" s="699"/>
      <c r="I44" s="700"/>
      <c r="J44" s="537"/>
      <c r="K44" s="537"/>
      <c r="N44" s="59"/>
      <c r="O44" s="59"/>
      <c r="P44" s="307"/>
      <c r="Q44" s="309"/>
      <c r="R44" s="309"/>
      <c r="S44" s="309"/>
      <c r="T44" s="42"/>
      <c r="U44" s="681" t="s">
        <v>402</v>
      </c>
      <c r="V44" s="681" t="s">
        <v>403</v>
      </c>
      <c r="W44" s="59"/>
      <c r="X44" s="59"/>
      <c r="Y44" s="681" t="s">
        <v>404</v>
      </c>
      <c r="Z44" s="681" t="s">
        <v>405</v>
      </c>
      <c r="AA44" s="681" t="s">
        <v>406</v>
      </c>
      <c r="AB44" s="681" t="s">
        <v>407</v>
      </c>
      <c r="AC44" s="681" t="s">
        <v>408</v>
      </c>
      <c r="AD44" s="681" t="s">
        <v>409</v>
      </c>
      <c r="AE44" s="681" t="s">
        <v>410</v>
      </c>
      <c r="AF44" s="681" t="s">
        <v>411</v>
      </c>
      <c r="AG44" s="681" t="s">
        <v>412</v>
      </c>
      <c r="AH44" s="681" t="s">
        <v>413</v>
      </c>
      <c r="AI44" s="681" t="s">
        <v>414</v>
      </c>
      <c r="AJ44" s="681"/>
      <c r="AK44" s="681"/>
      <c r="AL44" s="681"/>
      <c r="AM44" s="681"/>
      <c r="AN44" s="681"/>
      <c r="AO44" s="681"/>
      <c r="AP44" s="681"/>
      <c r="AQ44" s="681"/>
      <c r="AR44" s="681"/>
      <c r="AS44" s="681"/>
      <c r="AT44" s="681"/>
      <c r="AU44" s="681"/>
      <c r="AV44" s="681"/>
      <c r="AW44" s="681"/>
      <c r="AX44" s="681"/>
      <c r="AY44" s="681" t="s">
        <v>415</v>
      </c>
      <c r="AZ44" s="681" t="s">
        <v>416</v>
      </c>
      <c r="BA44" s="681" t="s">
        <v>417</v>
      </c>
      <c r="BB44" s="681" t="s">
        <v>418</v>
      </c>
      <c r="BC44" s="681" t="s">
        <v>419</v>
      </c>
      <c r="BD44" s="681" t="s">
        <v>420</v>
      </c>
      <c r="BE44" s="681" t="s">
        <v>421</v>
      </c>
      <c r="BF44" s="681" t="s">
        <v>422</v>
      </c>
      <c r="BG44" s="681" t="s">
        <v>423</v>
      </c>
      <c r="BH44" s="681" t="s">
        <v>424</v>
      </c>
      <c r="BI44" s="681" t="s">
        <v>425</v>
      </c>
      <c r="BJ44" s="681" t="s">
        <v>426</v>
      </c>
      <c r="BK44" s="681" t="s">
        <v>427</v>
      </c>
      <c r="BL44" s="681" t="s">
        <v>428</v>
      </c>
      <c r="BM44" s="681" t="s">
        <v>425</v>
      </c>
      <c r="BN44" s="681" t="s">
        <v>429</v>
      </c>
      <c r="BO44" s="681" t="s">
        <v>426</v>
      </c>
      <c r="BP44" s="681" t="s">
        <v>427</v>
      </c>
      <c r="BQ44" s="681" t="s">
        <v>430</v>
      </c>
      <c r="BR44" s="681" t="s">
        <v>431</v>
      </c>
      <c r="BS44" s="681" t="s">
        <v>428</v>
      </c>
      <c r="BU44" s="681" t="s">
        <v>433</v>
      </c>
      <c r="BV44" s="681" t="s">
        <v>434</v>
      </c>
      <c r="BW44" s="681" t="s">
        <v>435</v>
      </c>
      <c r="BX44" s="681" t="s">
        <v>436</v>
      </c>
      <c r="BY44" s="681" t="s">
        <v>437</v>
      </c>
      <c r="BZ44" s="681" t="s">
        <v>438</v>
      </c>
      <c r="CA44" s="681" t="s">
        <v>439</v>
      </c>
      <c r="CB44" s="681" t="s">
        <v>440</v>
      </c>
      <c r="CC44" s="681" t="s">
        <v>441</v>
      </c>
      <c r="CE44" s="681" t="s">
        <v>442</v>
      </c>
      <c r="CH44" s="296"/>
      <c r="CI44" s="25"/>
      <c r="CJ44" s="25"/>
      <c r="CK44" s="26"/>
      <c r="CL44" s="28"/>
      <c r="CM44" s="26"/>
      <c r="CN44" s="28"/>
      <c r="CO44" s="28"/>
      <c r="CP44" s="28"/>
      <c r="CQ44" s="28"/>
      <c r="CR44" s="28"/>
      <c r="CS44" s="27"/>
      <c r="CT44" s="27"/>
      <c r="CU44" s="27"/>
      <c r="CV44" s="27"/>
      <c r="CW44" s="27"/>
      <c r="CX44" s="27"/>
      <c r="CY44" s="27"/>
      <c r="CZ44" s="27"/>
      <c r="DA44" s="27"/>
      <c r="DB44" s="27"/>
      <c r="DC44" s="27"/>
      <c r="DD44" s="27"/>
      <c r="DE44" s="27"/>
      <c r="DF44" s="27"/>
    </row>
    <row r="45" spans="1:110" s="126" customFormat="1" ht="16.5" customHeight="1">
      <c r="A45" s="701"/>
      <c r="B45" s="702"/>
      <c r="C45" s="702"/>
      <c r="D45" s="702"/>
      <c r="E45" s="702"/>
      <c r="F45" s="702"/>
      <c r="G45" s="702"/>
      <c r="H45" s="702"/>
      <c r="I45" s="703"/>
      <c r="J45" s="538"/>
      <c r="K45" s="538"/>
      <c r="N45" s="59"/>
      <c r="O45" s="59"/>
      <c r="P45" s="310"/>
      <c r="Q45" s="310"/>
      <c r="R45" s="310"/>
      <c r="S45" s="310"/>
      <c r="T45" s="42"/>
      <c r="U45" s="681"/>
      <c r="V45" s="682"/>
      <c r="W45" s="59"/>
      <c r="X45" s="59"/>
      <c r="Y45" s="682"/>
      <c r="Z45" s="682"/>
      <c r="AA45" s="682"/>
      <c r="AB45" s="682"/>
      <c r="AC45" s="682"/>
      <c r="AD45" s="682"/>
      <c r="AE45" s="682"/>
      <c r="AF45" s="682"/>
      <c r="AG45" s="682"/>
      <c r="AH45" s="682"/>
      <c r="AI45" s="682"/>
      <c r="AJ45" s="682"/>
      <c r="AK45" s="682"/>
      <c r="AL45" s="682"/>
      <c r="AM45" s="682"/>
      <c r="AN45" s="682"/>
      <c r="AO45" s="682"/>
      <c r="AP45" s="682"/>
      <c r="AQ45" s="682"/>
      <c r="AR45" s="682"/>
      <c r="AS45" s="682"/>
      <c r="AT45" s="682"/>
      <c r="AU45" s="682"/>
      <c r="AV45" s="682"/>
      <c r="AW45" s="682"/>
      <c r="AX45" s="682"/>
      <c r="AY45" s="682"/>
      <c r="AZ45" s="682"/>
      <c r="BA45" s="682"/>
      <c r="BB45" s="682"/>
      <c r="BC45" s="682"/>
      <c r="BD45" s="682"/>
      <c r="BE45" s="682"/>
      <c r="BF45" s="682"/>
      <c r="BG45" s="682"/>
      <c r="BH45" s="682"/>
      <c r="BI45" s="682"/>
      <c r="BJ45" s="682"/>
      <c r="BK45" s="682"/>
      <c r="BL45" s="682"/>
      <c r="BM45" s="682"/>
      <c r="BN45" s="682"/>
      <c r="BO45" s="682"/>
      <c r="BP45" s="682"/>
      <c r="BQ45" s="682"/>
      <c r="BR45" s="682"/>
      <c r="BS45" s="682"/>
      <c r="BU45" s="682"/>
      <c r="BV45" s="682"/>
      <c r="BW45" s="682"/>
      <c r="BX45" s="682"/>
      <c r="BY45" s="682"/>
      <c r="BZ45" s="682"/>
      <c r="CA45" s="682"/>
      <c r="CB45" s="682"/>
      <c r="CC45" s="682"/>
      <c r="CE45" s="682"/>
      <c r="CH45" s="296"/>
      <c r="CI45" s="25"/>
      <c r="CJ45" s="25"/>
      <c r="CK45" s="26"/>
      <c r="CL45" s="28"/>
      <c r="CM45" s="26"/>
      <c r="CN45" s="28"/>
      <c r="CO45" s="28"/>
      <c r="CP45" s="28"/>
      <c r="CQ45" s="28"/>
      <c r="CR45" s="28"/>
      <c r="CS45" s="27"/>
      <c r="CT45" s="27"/>
      <c r="CU45" s="27"/>
      <c r="CV45" s="27"/>
      <c r="CW45" s="27"/>
      <c r="CX45" s="27"/>
      <c r="CY45" s="27"/>
      <c r="CZ45" s="27"/>
      <c r="DA45" s="27"/>
      <c r="DB45" s="27"/>
      <c r="DC45" s="27"/>
      <c r="DD45" s="27"/>
      <c r="DE45" s="27"/>
      <c r="DF45" s="27"/>
    </row>
    <row r="46" spans="1:110" s="126" customFormat="1" ht="16.5" customHeight="1">
      <c r="A46" s="701"/>
      <c r="B46" s="702"/>
      <c r="C46" s="702"/>
      <c r="D46" s="702"/>
      <c r="E46" s="702"/>
      <c r="F46" s="702"/>
      <c r="G46" s="702"/>
      <c r="H46" s="702"/>
      <c r="I46" s="703"/>
      <c r="J46" s="538"/>
      <c r="K46" s="538"/>
      <c r="N46" s="59"/>
      <c r="O46" s="59"/>
      <c r="P46" s="310"/>
      <c r="Q46" s="310"/>
      <c r="R46" s="310"/>
      <c r="S46" s="310"/>
      <c r="T46" s="42"/>
      <c r="U46" s="681"/>
      <c r="V46" s="682"/>
      <c r="W46" s="59"/>
      <c r="X46" s="59"/>
      <c r="Y46" s="682"/>
      <c r="Z46" s="682"/>
      <c r="AA46" s="682"/>
      <c r="AB46" s="682"/>
      <c r="AC46" s="682"/>
      <c r="AD46" s="682"/>
      <c r="AE46" s="682"/>
      <c r="AF46" s="682"/>
      <c r="AG46" s="682"/>
      <c r="AH46" s="682"/>
      <c r="AI46" s="682"/>
      <c r="AJ46" s="682"/>
      <c r="AK46" s="682"/>
      <c r="AL46" s="682"/>
      <c r="AM46" s="682"/>
      <c r="AN46" s="682"/>
      <c r="AO46" s="682"/>
      <c r="AP46" s="682"/>
      <c r="AQ46" s="682"/>
      <c r="AR46" s="682"/>
      <c r="AS46" s="682"/>
      <c r="AT46" s="682"/>
      <c r="AU46" s="682"/>
      <c r="AV46" s="682"/>
      <c r="AW46" s="682"/>
      <c r="AX46" s="682"/>
      <c r="AY46" s="682"/>
      <c r="AZ46" s="682"/>
      <c r="BA46" s="682"/>
      <c r="BB46" s="682"/>
      <c r="BC46" s="682"/>
      <c r="BD46" s="682"/>
      <c r="BE46" s="682"/>
      <c r="BF46" s="682"/>
      <c r="BG46" s="682"/>
      <c r="BH46" s="682"/>
      <c r="BI46" s="682"/>
      <c r="BJ46" s="682"/>
      <c r="BK46" s="682"/>
      <c r="BL46" s="682"/>
      <c r="BM46" s="682"/>
      <c r="BN46" s="682"/>
      <c r="BO46" s="682"/>
      <c r="BP46" s="682"/>
      <c r="BQ46" s="682"/>
      <c r="BR46" s="682"/>
      <c r="BS46" s="682"/>
      <c r="BU46" s="682"/>
      <c r="BV46" s="682"/>
      <c r="BW46" s="682"/>
      <c r="BX46" s="682"/>
      <c r="BY46" s="682"/>
      <c r="BZ46" s="682"/>
      <c r="CA46" s="682"/>
      <c r="CB46" s="682"/>
      <c r="CC46" s="682"/>
      <c r="CE46" s="682"/>
      <c r="CH46" s="296"/>
      <c r="CI46" s="25"/>
      <c r="CJ46" s="25"/>
      <c r="CK46" s="26"/>
      <c r="CL46" s="28"/>
      <c r="CM46" s="26"/>
      <c r="CN46" s="28"/>
      <c r="CO46" s="28"/>
      <c r="CP46" s="28"/>
      <c r="CQ46" s="28"/>
      <c r="CR46" s="28"/>
      <c r="CS46" s="27"/>
      <c r="CT46" s="27"/>
      <c r="CU46" s="27"/>
      <c r="CV46" s="27"/>
      <c r="CW46" s="27"/>
      <c r="CX46" s="27"/>
      <c r="CY46" s="27"/>
      <c r="CZ46" s="27"/>
      <c r="DA46" s="27"/>
      <c r="DB46" s="27"/>
      <c r="DC46" s="27"/>
      <c r="DD46" s="27"/>
      <c r="DE46" s="27"/>
      <c r="DF46" s="27"/>
    </row>
    <row r="47" spans="1:110" s="126" customFormat="1" ht="16.5" customHeight="1" thickBot="1">
      <c r="A47" s="704"/>
      <c r="B47" s="705"/>
      <c r="C47" s="705"/>
      <c r="D47" s="705"/>
      <c r="E47" s="705"/>
      <c r="F47" s="705"/>
      <c r="G47" s="705"/>
      <c r="H47" s="705"/>
      <c r="I47" s="706"/>
      <c r="J47" s="539"/>
      <c r="K47" s="539"/>
      <c r="N47" s="59"/>
      <c r="O47" s="59"/>
      <c r="P47" s="310"/>
      <c r="Q47" s="310"/>
      <c r="R47" s="310"/>
      <c r="S47" s="310"/>
      <c r="T47" s="42"/>
      <c r="U47" s="681"/>
      <c r="V47" s="682"/>
      <c r="W47" s="59"/>
      <c r="X47" s="59"/>
      <c r="Y47" s="682"/>
      <c r="Z47" s="682"/>
      <c r="AA47" s="682"/>
      <c r="AB47" s="682"/>
      <c r="AC47" s="682"/>
      <c r="AD47" s="682"/>
      <c r="AE47" s="682"/>
      <c r="AF47" s="682"/>
      <c r="AG47" s="682"/>
      <c r="AH47" s="682"/>
      <c r="AI47" s="682"/>
      <c r="AJ47" s="682"/>
      <c r="AK47" s="682"/>
      <c r="AL47" s="682"/>
      <c r="AM47" s="682"/>
      <c r="AN47" s="682"/>
      <c r="AO47" s="682"/>
      <c r="AP47" s="682"/>
      <c r="AQ47" s="682"/>
      <c r="AR47" s="682"/>
      <c r="AS47" s="682"/>
      <c r="AT47" s="682"/>
      <c r="AU47" s="682"/>
      <c r="AV47" s="682"/>
      <c r="AW47" s="682"/>
      <c r="AX47" s="682"/>
      <c r="AY47" s="682"/>
      <c r="AZ47" s="682"/>
      <c r="BA47" s="682"/>
      <c r="BB47" s="682"/>
      <c r="BC47" s="682"/>
      <c r="BD47" s="682"/>
      <c r="BE47" s="682"/>
      <c r="BF47" s="682"/>
      <c r="BG47" s="682"/>
      <c r="BH47" s="682"/>
      <c r="BI47" s="682"/>
      <c r="BJ47" s="682"/>
      <c r="BK47" s="682"/>
      <c r="BL47" s="682"/>
      <c r="BM47" s="682"/>
      <c r="BN47" s="682"/>
      <c r="BO47" s="682"/>
      <c r="BP47" s="682"/>
      <c r="BQ47" s="682"/>
      <c r="BR47" s="682"/>
      <c r="BS47" s="682"/>
      <c r="BU47" s="682"/>
      <c r="BV47" s="682"/>
      <c r="BW47" s="682"/>
      <c r="BX47" s="682"/>
      <c r="BY47" s="682"/>
      <c r="BZ47" s="682"/>
      <c r="CA47" s="682"/>
      <c r="CB47" s="682"/>
      <c r="CC47" s="682"/>
      <c r="CE47" s="682"/>
      <c r="CH47" s="296"/>
      <c r="CI47" s="25"/>
      <c r="CJ47" s="25"/>
      <c r="CK47" s="26"/>
      <c r="CL47" s="28"/>
      <c r="CM47" s="26"/>
      <c r="CN47" s="28"/>
      <c r="CO47" s="28"/>
      <c r="CP47" s="28"/>
      <c r="CQ47" s="28"/>
      <c r="CR47" s="28"/>
      <c r="CS47" s="27"/>
      <c r="CT47" s="27"/>
      <c r="CU47" s="27"/>
      <c r="CV47" s="27"/>
      <c r="CW47" s="27"/>
      <c r="CX47" s="27"/>
      <c r="CY47" s="27"/>
      <c r="CZ47" s="27"/>
      <c r="DA47" s="27"/>
      <c r="DB47" s="27"/>
      <c r="DC47" s="27"/>
      <c r="DD47" s="27"/>
      <c r="DE47" s="27"/>
      <c r="DF47" s="27"/>
    </row>
    <row r="48" spans="1:110" s="126" customFormat="1" ht="24" customHeight="1">
      <c r="A48"/>
      <c r="B48"/>
      <c r="C48"/>
      <c r="D48"/>
      <c r="E48"/>
      <c r="F48"/>
      <c r="G48"/>
      <c r="H48"/>
      <c r="I48"/>
      <c r="J48"/>
      <c r="K48"/>
      <c r="L48" s="707">
        <v>7.179999828338623</v>
      </c>
      <c r="M48" s="707"/>
      <c r="N48" s="59"/>
      <c r="O48" s="59"/>
      <c r="P48" s="130"/>
      <c r="Q48"/>
      <c r="R48"/>
      <c r="S48" s="126" t="s">
        <v>634</v>
      </c>
      <c r="T48" s="42"/>
      <c r="U48" s="681"/>
      <c r="V48" s="682"/>
      <c r="W48" s="59"/>
      <c r="X48" s="59"/>
      <c r="Y48" s="682"/>
      <c r="Z48" s="682"/>
      <c r="AA48" s="682"/>
      <c r="AB48" s="682"/>
      <c r="AC48" s="682"/>
      <c r="AD48" s="682"/>
      <c r="AE48" s="682"/>
      <c r="AF48" s="682"/>
      <c r="AG48" s="682"/>
      <c r="AH48" s="682"/>
      <c r="AI48" s="682"/>
      <c r="AJ48" s="682"/>
      <c r="AK48" s="682"/>
      <c r="AL48" s="682"/>
      <c r="AM48" s="682"/>
      <c r="AN48" s="682"/>
      <c r="AO48" s="682"/>
      <c r="AP48" s="682"/>
      <c r="AQ48" s="682"/>
      <c r="AR48" s="682"/>
      <c r="AS48" s="682"/>
      <c r="AT48" s="682"/>
      <c r="AU48" s="682"/>
      <c r="AV48" s="682"/>
      <c r="AW48" s="682"/>
      <c r="AX48" s="682"/>
      <c r="AY48" s="682"/>
      <c r="AZ48" s="682"/>
      <c r="BA48" s="682"/>
      <c r="BB48" s="682"/>
      <c r="BC48" s="682"/>
      <c r="BD48" s="682"/>
      <c r="BE48" s="682"/>
      <c r="BF48" s="682"/>
      <c r="BG48" s="682"/>
      <c r="BH48" s="682"/>
      <c r="BI48" s="682"/>
      <c r="BJ48" s="682"/>
      <c r="BK48" s="682"/>
      <c r="BL48" s="682"/>
      <c r="BM48" s="682"/>
      <c r="BN48" s="682"/>
      <c r="BO48" s="682"/>
      <c r="BP48" s="682"/>
      <c r="BQ48" s="682"/>
      <c r="BR48" s="682"/>
      <c r="BS48" s="682"/>
      <c r="BU48" s="682"/>
      <c r="BV48" s="682"/>
      <c r="BW48" s="682"/>
      <c r="BX48" s="682"/>
      <c r="BY48" s="682"/>
      <c r="BZ48" s="682"/>
      <c r="CA48" s="682"/>
      <c r="CB48" s="682"/>
      <c r="CC48" s="682"/>
      <c r="CE48" s="682"/>
      <c r="CH48" s="296"/>
      <c r="CI48" s="25"/>
      <c r="CJ48" s="25"/>
      <c r="CK48" s="26"/>
      <c r="CL48" s="28"/>
      <c r="CM48" s="26"/>
      <c r="CN48" s="28"/>
      <c r="CO48" s="28"/>
      <c r="CP48" s="28"/>
      <c r="CQ48" s="28"/>
      <c r="CR48" s="28"/>
      <c r="CS48" s="27"/>
      <c r="CT48" s="27"/>
      <c r="CU48" s="27"/>
      <c r="CV48" s="27"/>
      <c r="CW48" s="27"/>
      <c r="CX48" s="27"/>
      <c r="CY48" s="27"/>
      <c r="CZ48" s="27"/>
      <c r="DA48" s="27"/>
      <c r="DB48" s="27"/>
      <c r="DC48" s="27"/>
      <c r="DD48" s="27"/>
      <c r="DE48" s="27"/>
      <c r="DF48" s="27"/>
    </row>
    <row r="50" spans="18:18">
      <c r="R50" s="492"/>
    </row>
  </sheetData>
  <sheetProtection algorithmName="SHA-512" hashValue="M44ztPKXvzVXLOyMHSmlbY15HrZutKznUFitLCCtDSMxr7v6uPVp+M9Jh56w57ngRIx90vXbsMz9GL5QypmuHQ==" saltValue="Mh2Idg5JM1L+ddNgTA87Pw==" spinCount="100000" sheet="1" objects="1" scenarios="1"/>
  <mergeCells count="113">
    <mergeCell ref="BZ44:BZ48"/>
    <mergeCell ref="CA44:CA48"/>
    <mergeCell ref="CB44:CB48"/>
    <mergeCell ref="CC44:CC48"/>
    <mergeCell ref="CE44:CE48"/>
    <mergeCell ref="A45:I45"/>
    <mergeCell ref="A46:I46"/>
    <mergeCell ref="A47:I47"/>
    <mergeCell ref="L48:M48"/>
    <mergeCell ref="BS44:BS48"/>
    <mergeCell ref="BU44:BU48"/>
    <mergeCell ref="BV44:BV48"/>
    <mergeCell ref="BW44:BW48"/>
    <mergeCell ref="BX44:BX48"/>
    <mergeCell ref="BY44:BY48"/>
    <mergeCell ref="BM44:BM48"/>
    <mergeCell ref="BN44:BN48"/>
    <mergeCell ref="BO44:BO48"/>
    <mergeCell ref="BP44:BP48"/>
    <mergeCell ref="BQ44:BQ48"/>
    <mergeCell ref="BR44:BR48"/>
    <mergeCell ref="BG44:BG48"/>
    <mergeCell ref="BH44:BH48"/>
    <mergeCell ref="BI44:BI48"/>
    <mergeCell ref="BJ44:BJ48"/>
    <mergeCell ref="BK44:BK48"/>
    <mergeCell ref="BL44:BL48"/>
    <mergeCell ref="BA44:BA48"/>
    <mergeCell ref="BB44:BB48"/>
    <mergeCell ref="BC44:BC48"/>
    <mergeCell ref="BD44:BD48"/>
    <mergeCell ref="BE44:BE48"/>
    <mergeCell ref="BF44:BF48"/>
    <mergeCell ref="AU44:AU48"/>
    <mergeCell ref="AV44:AV48"/>
    <mergeCell ref="AW44:AW48"/>
    <mergeCell ref="AX44:AX48"/>
    <mergeCell ref="AY44:AY48"/>
    <mergeCell ref="AZ44:AZ48"/>
    <mergeCell ref="AO44:AO48"/>
    <mergeCell ref="AP44:AP48"/>
    <mergeCell ref="AQ44:AQ48"/>
    <mergeCell ref="AR44:AR48"/>
    <mergeCell ref="AS44:AS48"/>
    <mergeCell ref="AT44:AT48"/>
    <mergeCell ref="AI44:AI48"/>
    <mergeCell ref="AJ44:AJ48"/>
    <mergeCell ref="AK44:AK48"/>
    <mergeCell ref="AL44:AL48"/>
    <mergeCell ref="AM44:AM48"/>
    <mergeCell ref="AN44:AN48"/>
    <mergeCell ref="AC44:AC48"/>
    <mergeCell ref="AD44:AD48"/>
    <mergeCell ref="AE44:AE48"/>
    <mergeCell ref="AF44:AF48"/>
    <mergeCell ref="AG44:AG48"/>
    <mergeCell ref="AH44:AH48"/>
    <mergeCell ref="U44:U48"/>
    <mergeCell ref="V44:V48"/>
    <mergeCell ref="Y44:Y48"/>
    <mergeCell ref="Z44:Z48"/>
    <mergeCell ref="AA44:AA48"/>
    <mergeCell ref="AB44:AB48"/>
    <mergeCell ref="P40:S40"/>
    <mergeCell ref="A41:D41"/>
    <mergeCell ref="F41:G41"/>
    <mergeCell ref="P41:S41"/>
    <mergeCell ref="A43:D43"/>
    <mergeCell ref="A44:I44"/>
    <mergeCell ref="P34:S34"/>
    <mergeCell ref="P35:S35"/>
    <mergeCell ref="P36:S36"/>
    <mergeCell ref="P37:S37"/>
    <mergeCell ref="P38:S38"/>
    <mergeCell ref="P39:S39"/>
    <mergeCell ref="P28:S28"/>
    <mergeCell ref="P29:S29"/>
    <mergeCell ref="P30:S30"/>
    <mergeCell ref="P31:S31"/>
    <mergeCell ref="P32:S32"/>
    <mergeCell ref="P33:S33"/>
    <mergeCell ref="P22:S22"/>
    <mergeCell ref="P23:S23"/>
    <mergeCell ref="P24:S24"/>
    <mergeCell ref="P25:S25"/>
    <mergeCell ref="P26:S26"/>
    <mergeCell ref="P27:S27"/>
    <mergeCell ref="P16:S16"/>
    <mergeCell ref="P17:S17"/>
    <mergeCell ref="P18:S18"/>
    <mergeCell ref="P19:S19"/>
    <mergeCell ref="P20:S20"/>
    <mergeCell ref="P21:S21"/>
    <mergeCell ref="P10:S10"/>
    <mergeCell ref="P11:S11"/>
    <mergeCell ref="P12:S12"/>
    <mergeCell ref="P13:S13"/>
    <mergeCell ref="P14:S14"/>
    <mergeCell ref="P15:S15"/>
    <mergeCell ref="I6:L6"/>
    <mergeCell ref="P6:R6"/>
    <mergeCell ref="I7:M7"/>
    <mergeCell ref="P7:S7"/>
    <mergeCell ref="D9:F9"/>
    <mergeCell ref="N9:O9"/>
    <mergeCell ref="P9:S9"/>
    <mergeCell ref="B2:F2"/>
    <mergeCell ref="I3:M3"/>
    <mergeCell ref="P3:S3"/>
    <mergeCell ref="I4:M4"/>
    <mergeCell ref="P4:S4"/>
    <mergeCell ref="I5:M5"/>
    <mergeCell ref="P5:S5"/>
  </mergeCells>
  <phoneticPr fontId="24"/>
  <conditionalFormatting sqref="A10:A40 X10:X39">
    <cfRule type="expression" dxfId="19" priority="11" stopIfTrue="1">
      <formula>WEEKDAY($A10)=1</formula>
    </cfRule>
    <cfRule type="expression" dxfId="18" priority="12" stopIfTrue="1">
      <formula>WEEKDAY($A10)=7</formula>
    </cfRule>
    <cfRule type="expression" dxfId="17" priority="13" stopIfTrue="1">
      <formula>ISNA(MATCH(A10,休日カレンダ,FALSE))=FALSE</formula>
    </cfRule>
  </conditionalFormatting>
  <conditionalFormatting sqref="F14:F15 I10:I40 D14:D15 D21:D23 F21:F23 D28:D31 F28:F31 D35:D36 F35:F36">
    <cfRule type="expression" dxfId="16" priority="14" stopIfTrue="1">
      <formula>$U10=1</formula>
    </cfRule>
  </conditionalFormatting>
  <conditionalFormatting sqref="T10:T40">
    <cfRule type="expression" dxfId="15" priority="15" stopIfTrue="1">
      <formula>$V10</formula>
    </cfRule>
  </conditionalFormatting>
  <conditionalFormatting sqref="H10:H40">
    <cfRule type="expression" dxfId="14" priority="16" stopIfTrue="1">
      <formula>$V10</formula>
    </cfRule>
    <cfRule type="expression" dxfId="13" priority="17" stopIfTrue="1">
      <formula>$U10=1</formula>
    </cfRule>
  </conditionalFormatting>
  <conditionalFormatting sqref="G10:G40">
    <cfRule type="expression" dxfId="12" priority="18" stopIfTrue="1">
      <formula>IF($Q$2=1,0,IF($G10="法休",1))</formula>
    </cfRule>
    <cfRule type="expression" dxfId="11" priority="19" stopIfTrue="1">
      <formula>$U10=1</formula>
    </cfRule>
  </conditionalFormatting>
  <conditionalFormatting sqref="A7:F7">
    <cfRule type="expression" dxfId="10" priority="20" stopIfTrue="1">
      <formula>$Q$2=1</formula>
    </cfRule>
  </conditionalFormatting>
  <conditionalFormatting sqref="D10:D13">
    <cfRule type="expression" dxfId="9" priority="10" stopIfTrue="1">
      <formula>$U10=1</formula>
    </cfRule>
  </conditionalFormatting>
  <conditionalFormatting sqref="F10:F13">
    <cfRule type="expression" dxfId="8" priority="9" stopIfTrue="1">
      <formula>$U10=1</formula>
    </cfRule>
  </conditionalFormatting>
  <conditionalFormatting sqref="D16:D20">
    <cfRule type="expression" dxfId="7" priority="8" stopIfTrue="1">
      <formula>$U16=1</formula>
    </cfRule>
  </conditionalFormatting>
  <conditionalFormatting sqref="F16:F20">
    <cfRule type="expression" dxfId="6" priority="7" stopIfTrue="1">
      <formula>$U16=1</formula>
    </cfRule>
  </conditionalFormatting>
  <conditionalFormatting sqref="D24:D27">
    <cfRule type="expression" dxfId="5" priority="6" stopIfTrue="1">
      <formula>$U24=1</formula>
    </cfRule>
  </conditionalFormatting>
  <conditionalFormatting sqref="F24:F27">
    <cfRule type="expression" dxfId="4" priority="5" stopIfTrue="1">
      <formula>$U24=1</formula>
    </cfRule>
  </conditionalFormatting>
  <conditionalFormatting sqref="D32:D34">
    <cfRule type="expression" dxfId="3" priority="4" stopIfTrue="1">
      <formula>$U32=1</formula>
    </cfRule>
  </conditionalFormatting>
  <conditionalFormatting sqref="F32:F34">
    <cfRule type="expression" dxfId="2" priority="3" stopIfTrue="1">
      <formula>$U32=1</formula>
    </cfRule>
  </conditionalFormatting>
  <conditionalFormatting sqref="D37:D40">
    <cfRule type="expression" dxfId="1" priority="2" stopIfTrue="1">
      <formula>$U37=1</formula>
    </cfRule>
  </conditionalFormatting>
  <conditionalFormatting sqref="F37:F40">
    <cfRule type="expression" dxfId="0" priority="1" stopIfTrue="1">
      <formula>$U37=1</formula>
    </cfRule>
  </conditionalFormatting>
  <dataValidations count="7">
    <dataValidation type="textLength" imeMode="hiragana" operator="lessThanOrEqual" allowBlank="1" showInputMessage="1" showErrorMessage="1" errorTitle="入力文字数制限" error="２５５文字以内で入力してください。" sqref="A44:A47" xr:uid="{049EEED9-AF94-40C5-B859-4B55CFB94338}">
      <formula1>256</formula1>
    </dataValidation>
    <dataValidation imeMode="hiragana" allowBlank="1" sqref="P10:S40" xr:uid="{AA976281-BD10-43C8-B1D7-21D51E4109BD}"/>
    <dataValidation type="whole" showInputMessage="1" showErrorMessage="1" sqref="Q2:R2" xr:uid="{B636A908-3485-431B-AADD-4E0C5F0F6216}">
      <formula1>1</formula1>
      <formula2>20</formula2>
    </dataValidation>
    <dataValidation imeMode="off" allowBlank="1" showInputMessage="1" showErrorMessage="1" errorTitle="入力エラー" error="選択し～選択して下さい。" sqref="O10:O40 K10:K40" xr:uid="{325DD837-7BC9-4E4B-B374-CB3D553C35E8}"/>
    <dataValidation type="list" allowBlank="1" showInputMessage="1" showErrorMessage="1" sqref="G10:G40" xr:uid="{166080D6-AA3D-427A-A8D9-0BEED9202C7F}">
      <formula1>"未実施"</formula1>
    </dataValidation>
    <dataValidation type="time" imeMode="off" operator="greaterThanOrEqual" allowBlank="1" showInputMessage="1" showErrorMessage="1" sqref="F10:F40 H10:I40 D10:D40" xr:uid="{BCFCD228-B015-4595-80E0-D2C0BBE10200}">
      <formula1>0</formula1>
    </dataValidation>
    <dataValidation imeMode="hiragana" allowBlank="1" showInputMessage="1" showErrorMessage="1" sqref="Q44:S44 P45:S47" xr:uid="{D6447E02-5E23-48C9-8E43-27A1E3E626D7}"/>
  </dataValidations>
  <pageMargins left="0.59055118110236227" right="0" top="0.59055118110236227" bottom="0" header="0" footer="0"/>
  <pageSetup paperSize="9" orientation="portrait" blackAndWhite="1" horizontalDpi="1200" verticalDpi="1200" r:id="rId1"/>
  <headerFooter alignWithMargins="0">
    <oddFooter>&amp;L&amp;"ＭＳ Ｐゴシック,斜体"&amp;9Printing by &amp;D</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DG50"/>
  <sheetViews>
    <sheetView showGridLines="0" showRowColHeaders="0" zoomScale="115" zoomScaleNormal="115" workbookViewId="0">
      <pane ySplit="9" topLeftCell="A10" activePane="bottomLeft" state="frozen"/>
      <selection pane="bottomLeft" activeCell="D10" sqref="D10"/>
    </sheetView>
  </sheetViews>
  <sheetFormatPr defaultColWidth="0" defaultRowHeight="13.5"/>
  <cols>
    <col min="1" max="1" width="7.75" bestFit="1" customWidth="1"/>
    <col min="2" max="3" width="9" hidden="1" customWidth="1"/>
    <col min="4" max="4" width="11.875" customWidth="1"/>
    <col min="5" max="5" width="4.375" customWidth="1"/>
    <col min="6" max="6" width="11.875" customWidth="1"/>
    <col min="7" max="7" width="9" customWidth="1"/>
    <col min="8" max="8" width="11.125" customWidth="1"/>
    <col min="9" max="9" width="14.75" customWidth="1"/>
    <col min="10" max="10" width="6.625" hidden="1" customWidth="1"/>
    <col min="11" max="11" width="7.375" hidden="1" customWidth="1"/>
    <col min="12" max="12" width="9.875" customWidth="1"/>
    <col min="13" max="13" width="13.375" customWidth="1"/>
    <col min="14" max="14" width="2.125" hidden="1" customWidth="1"/>
    <col min="15" max="15" width="6.125" hidden="1" customWidth="1"/>
    <col min="16" max="16" width="15.75" hidden="1" customWidth="1"/>
    <col min="17" max="17" width="7.75" hidden="1" customWidth="1"/>
    <col min="18" max="19" width="3.875" hidden="1" customWidth="1"/>
    <col min="20" max="20" width="2.5" style="132" customWidth="1"/>
    <col min="21" max="21" width="6.375" hidden="1" customWidth="1"/>
    <col min="22" max="23" width="8" hidden="1" customWidth="1"/>
    <col min="24" max="24" width="10.25" hidden="1" customWidth="1"/>
    <col min="25" max="65" width="8" hidden="1" customWidth="1"/>
    <col min="66" max="66" width="2.25" hidden="1" customWidth="1"/>
    <col min="67" max="68" width="8" hidden="1" customWidth="1"/>
    <col min="69" max="69" width="2" hidden="1" customWidth="1"/>
    <col min="70" max="72" width="8" hidden="1" customWidth="1"/>
    <col min="73" max="73" width="7.5" hidden="1" customWidth="1"/>
    <col min="74" max="74" width="4.5" hidden="1" customWidth="1"/>
    <col min="75" max="81" width="5.5" hidden="1" customWidth="1"/>
    <col min="82" max="82" width="2.5" hidden="1" customWidth="1"/>
    <col min="83" max="83" width="5.5" hidden="1" customWidth="1"/>
    <col min="84" max="85" width="9.375" hidden="1" customWidth="1"/>
    <col min="86" max="86" width="9.375" style="293" hidden="1" customWidth="1"/>
    <col min="87" max="87" width="9.375" style="25" hidden="1" customWidth="1"/>
    <col min="88" max="88" width="17.5" style="25" hidden="1" customWidth="1"/>
    <col min="89" max="89" width="33.25" style="26" hidden="1" customWidth="1"/>
    <col min="90" max="90" width="9.375" style="28" hidden="1" customWidth="1"/>
    <col min="91" max="91" width="9.375" style="26" hidden="1" customWidth="1"/>
    <col min="92" max="96" width="9.375" style="28" hidden="1" customWidth="1"/>
    <col min="97" max="110" width="9.375" style="27" hidden="1" customWidth="1"/>
    <col min="111" max="16384" width="9" hidden="1"/>
  </cols>
  <sheetData>
    <row r="1" spans="1:111" ht="33" customHeight="1" thickBot="1">
      <c r="A1" s="59"/>
      <c r="B1" s="59"/>
      <c r="C1" s="43"/>
      <c r="D1" s="43"/>
      <c r="E1" s="43"/>
      <c r="F1" s="43"/>
      <c r="G1" s="531" t="s">
        <v>524</v>
      </c>
      <c r="H1" s="531"/>
      <c r="I1" s="531"/>
      <c r="J1" s="531"/>
      <c r="K1" s="531"/>
      <c r="L1" s="531"/>
      <c r="M1" s="531"/>
      <c r="N1" s="531"/>
      <c r="O1" s="531"/>
      <c r="P1" s="60"/>
      <c r="Q1" s="276" t="s">
        <v>132</v>
      </c>
      <c r="R1" s="276"/>
      <c r="V1" s="60"/>
      <c r="X1" s="70" t="s">
        <v>7</v>
      </c>
      <c r="Y1" s="70" t="s">
        <v>11</v>
      </c>
      <c r="Z1" s="71" t="s">
        <v>12</v>
      </c>
      <c r="AA1" s="381" t="s">
        <v>47</v>
      </c>
      <c r="AB1" s="380" t="s">
        <v>48</v>
      </c>
      <c r="AC1" s="380" t="s">
        <v>49</v>
      </c>
      <c r="AD1" s="382" t="s">
        <v>50</v>
      </c>
      <c r="AE1" s="378" t="s">
        <v>51</v>
      </c>
      <c r="AF1" s="72" t="s">
        <v>52</v>
      </c>
      <c r="AG1" s="80"/>
      <c r="AH1" s="464" t="s">
        <v>379</v>
      </c>
      <c r="AI1" s="378" t="s">
        <v>53</v>
      </c>
      <c r="AJ1" s="72" t="s">
        <v>54</v>
      </c>
      <c r="AK1" s="80"/>
      <c r="AL1" s="378" t="s">
        <v>55</v>
      </c>
      <c r="AM1" s="72" t="s">
        <v>56</v>
      </c>
      <c r="AN1" s="80"/>
      <c r="AO1" s="378" t="s">
        <v>57</v>
      </c>
      <c r="AP1" s="72" t="s">
        <v>58</v>
      </c>
      <c r="AQ1" s="80"/>
      <c r="AR1" s="378" t="s">
        <v>59</v>
      </c>
      <c r="AS1" s="72" t="s">
        <v>60</v>
      </c>
      <c r="AT1" s="80"/>
      <c r="AU1" s="378" t="s">
        <v>61</v>
      </c>
      <c r="AV1" s="72" t="s">
        <v>62</v>
      </c>
      <c r="AW1" s="80"/>
      <c r="AX1" s="378" t="s">
        <v>63</v>
      </c>
      <c r="AY1" s="72" t="s">
        <v>64</v>
      </c>
      <c r="AZ1" s="73"/>
      <c r="BA1" s="137" t="s">
        <v>65</v>
      </c>
      <c r="BB1" s="138" t="s">
        <v>66</v>
      </c>
      <c r="BC1" s="137" t="s">
        <v>67</v>
      </c>
      <c r="BD1" s="139" t="s">
        <v>68</v>
      </c>
      <c r="BE1" s="74"/>
      <c r="BF1" s="75"/>
      <c r="BG1" s="75"/>
      <c r="BH1" s="75"/>
      <c r="BI1" s="75"/>
      <c r="BJ1" s="75"/>
      <c r="BK1" s="75"/>
      <c r="BL1" s="75"/>
      <c r="BM1" s="75"/>
      <c r="BN1" s="75"/>
      <c r="BO1" s="75"/>
      <c r="BP1" s="75"/>
      <c r="BQ1" s="75"/>
      <c r="BR1" s="75"/>
      <c r="BS1" s="75"/>
      <c r="BT1" s="74"/>
      <c r="BU1" s="74"/>
      <c r="BV1" s="74"/>
      <c r="BW1" s="74"/>
      <c r="BX1" s="74"/>
      <c r="BY1" s="74"/>
      <c r="BZ1" s="74"/>
      <c r="CA1" s="74"/>
      <c r="CB1" s="74"/>
      <c r="CC1" s="74"/>
      <c r="CD1" s="74"/>
      <c r="CE1" s="74"/>
      <c r="CH1"/>
      <c r="CI1" s="293"/>
      <c r="CK1" s="25"/>
      <c r="CL1" s="26"/>
      <c r="CM1" s="28"/>
      <c r="CN1" s="26"/>
      <c r="CS1" s="28"/>
      <c r="DG1" s="27"/>
    </row>
    <row r="2" spans="1:111" ht="21" customHeight="1" thickBot="1">
      <c r="B2" s="729">
        <v>43374</v>
      </c>
      <c r="C2" s="729"/>
      <c r="D2" s="729"/>
      <c r="E2" s="729"/>
      <c r="F2" s="729"/>
      <c r="M2" s="61"/>
      <c r="N2" s="61"/>
      <c r="O2" s="61"/>
      <c r="P2" s="471" t="s">
        <v>382</v>
      </c>
      <c r="Q2" s="298">
        <v>1</v>
      </c>
      <c r="R2" s="298"/>
      <c r="T2" s="61"/>
      <c r="V2" s="46"/>
      <c r="W2" s="46"/>
      <c r="X2" s="379">
        <v>0.3125</v>
      </c>
      <c r="Y2" s="379">
        <v>6.9444444444444447E-4</v>
      </c>
      <c r="Z2" s="76">
        <v>6.9444444444444447E-4</v>
      </c>
      <c r="AA2" s="78">
        <v>6.9444444444444447E-4</v>
      </c>
      <c r="AB2" s="76">
        <v>0.72916666666666663</v>
      </c>
      <c r="AC2" s="76">
        <v>0.375</v>
      </c>
      <c r="AD2" s="383">
        <v>0.29166666666666669</v>
      </c>
      <c r="AE2" s="379">
        <v>0.5</v>
      </c>
      <c r="AF2" s="78">
        <v>0.54166666666666663</v>
      </c>
      <c r="AG2" s="80"/>
      <c r="AH2" s="383">
        <v>0.79166666666666663</v>
      </c>
      <c r="AI2" s="379">
        <v>0.8125</v>
      </c>
      <c r="AJ2" s="78">
        <v>0.83333333333333337</v>
      </c>
      <c r="AK2" s="80"/>
      <c r="AL2" s="379">
        <v>1</v>
      </c>
      <c r="AM2" s="78">
        <v>1.0416666666666667</v>
      </c>
      <c r="AN2" s="80"/>
      <c r="AO2" s="379">
        <v>1.2083333333333333</v>
      </c>
      <c r="AP2" s="78">
        <v>1.2916666666666667</v>
      </c>
      <c r="AQ2" s="80"/>
      <c r="AR2" s="379"/>
      <c r="AS2" s="78"/>
      <c r="AT2" s="80"/>
      <c r="AU2" s="379"/>
      <c r="AV2" s="78"/>
      <c r="AW2" s="80"/>
      <c r="AX2" s="379"/>
      <c r="AY2" s="78"/>
      <c r="AZ2" s="79"/>
      <c r="BA2" s="134">
        <v>0.25</v>
      </c>
      <c r="BB2" s="135">
        <v>3.125E-2</v>
      </c>
      <c r="BC2" s="134">
        <v>0.33333333333333331</v>
      </c>
      <c r="BD2" s="136">
        <v>4.1666666666666664E-2</v>
      </c>
      <c r="BE2" s="74"/>
      <c r="BF2" s="80"/>
      <c r="BG2" s="80"/>
      <c r="BH2" s="80"/>
      <c r="BI2" s="80"/>
      <c r="BJ2" s="80"/>
      <c r="BK2" s="80"/>
      <c r="BL2" s="80"/>
      <c r="BM2" s="80"/>
      <c r="BN2" s="80"/>
      <c r="BO2" s="80"/>
      <c r="BP2" s="80"/>
      <c r="BQ2" s="80"/>
      <c r="BR2" s="80"/>
      <c r="BS2" s="80"/>
      <c r="BT2" s="74"/>
      <c r="BU2" s="74"/>
      <c r="BV2" s="74"/>
      <c r="BW2" s="74"/>
      <c r="BX2" s="74"/>
      <c r="BY2" s="74"/>
      <c r="BZ2" s="74"/>
      <c r="CA2" s="74"/>
      <c r="CB2" s="74"/>
      <c r="CC2" s="74"/>
      <c r="CD2" s="74"/>
      <c r="CE2" s="74"/>
      <c r="CH2"/>
      <c r="CI2" s="293"/>
      <c r="CK2" s="25"/>
      <c r="CL2" s="26"/>
      <c r="CM2" s="28"/>
      <c r="CN2" s="26"/>
      <c r="CS2" s="28"/>
      <c r="DG2" s="27"/>
    </row>
    <row r="3" spans="1:111" ht="17.25" customHeight="1" thickBot="1">
      <c r="G3" s="532"/>
      <c r="H3" s="533" t="s">
        <v>236</v>
      </c>
      <c r="I3" s="730"/>
      <c r="J3" s="731"/>
      <c r="K3" s="731"/>
      <c r="L3" s="731"/>
      <c r="M3" s="732"/>
      <c r="N3" s="302"/>
      <c r="O3" s="302"/>
      <c r="P3" s="733">
        <f>I3</f>
        <v>0</v>
      </c>
      <c r="Q3" s="733"/>
      <c r="R3" s="733"/>
      <c r="S3" s="734"/>
      <c r="T3" s="61"/>
      <c r="V3" s="62"/>
      <c r="X3" s="81">
        <f t="shared" ref="X3:AF3" si="0">INT(X2*24*60)</f>
        <v>450</v>
      </c>
      <c r="Y3" s="81">
        <f t="shared" si="0"/>
        <v>1</v>
      </c>
      <c r="Z3" s="82">
        <f t="shared" si="0"/>
        <v>1</v>
      </c>
      <c r="AA3" s="84">
        <f t="shared" si="0"/>
        <v>1</v>
      </c>
      <c r="AB3" s="82">
        <f t="shared" si="0"/>
        <v>1050</v>
      </c>
      <c r="AC3" s="82">
        <f t="shared" si="0"/>
        <v>540</v>
      </c>
      <c r="AD3" s="384">
        <f t="shared" si="0"/>
        <v>420</v>
      </c>
      <c r="AE3" s="81">
        <f t="shared" si="0"/>
        <v>720</v>
      </c>
      <c r="AF3" s="84">
        <f t="shared" si="0"/>
        <v>780</v>
      </c>
      <c r="AG3" s="80"/>
      <c r="AH3" s="384">
        <f>INT(IF(AH2=0,AE3+24*60,AH2*24*60))</f>
        <v>1140</v>
      </c>
      <c r="AI3" s="81">
        <f>INT(IF(AI2=0,AC3+24*60,AI2*24*60))</f>
        <v>1170</v>
      </c>
      <c r="AJ3" s="84">
        <f>INT(IF(AJ2=0,AC3+24*60,AJ2*24*60))</f>
        <v>1200</v>
      </c>
      <c r="AK3" s="80"/>
      <c r="AL3" s="81">
        <f>INT(IF(AL2=0,AC3+24*60,AL2*24*60))</f>
        <v>1440</v>
      </c>
      <c r="AM3" s="84">
        <f>INT(IF(AM2=0,AC3+24*60,AM2*24*60))</f>
        <v>1500</v>
      </c>
      <c r="AN3" s="80"/>
      <c r="AO3" s="81">
        <f>INT(IF(AO2=0,AB3+24*60,AO2*24*60))</f>
        <v>1740</v>
      </c>
      <c r="AP3" s="84">
        <f>INT(IF(AP2=0,AC3+24*60,AP2*24*60))</f>
        <v>1860</v>
      </c>
      <c r="AQ3" s="80"/>
      <c r="AR3" s="81">
        <f>INT(IF(AR2=0,AC3+24*60,AR2*24*60))</f>
        <v>1980</v>
      </c>
      <c r="AS3" s="84">
        <f>INT(IF(AS2=0,AC3+24*60,AS2*24*60))</f>
        <v>1980</v>
      </c>
      <c r="AT3" s="80"/>
      <c r="AU3" s="81">
        <f>INT(IF(AU2=0,AC3+24*60,AU2*24*60))</f>
        <v>1980</v>
      </c>
      <c r="AV3" s="84">
        <f>INT(IF(AV2=0,AC3+24*60,AV2*24*60))</f>
        <v>1980</v>
      </c>
      <c r="AW3" s="80"/>
      <c r="AX3" s="81">
        <f>INT(IF(AX2=0,AC3+24*60,AX2*24*60))</f>
        <v>1980</v>
      </c>
      <c r="AY3" s="84">
        <f>INT(IF(AY2=0,AC3+24*60,AY2*24*60))</f>
        <v>1980</v>
      </c>
      <c r="AZ3" s="85"/>
      <c r="BA3" s="86">
        <f>INT(BA2*24*60)</f>
        <v>360</v>
      </c>
      <c r="BB3" s="87">
        <f>INT(BB2*24*60)</f>
        <v>45</v>
      </c>
      <c r="BC3" s="86">
        <f>INT(BC2*24*60)</f>
        <v>480</v>
      </c>
      <c r="BD3" s="88">
        <f>INT(BD2*24*60)</f>
        <v>60</v>
      </c>
      <c r="BE3" s="74"/>
      <c r="BF3" s="80"/>
      <c r="BG3" s="80"/>
      <c r="BH3" s="80"/>
      <c r="BI3" s="80"/>
      <c r="BJ3" s="89"/>
      <c r="BK3" s="80"/>
      <c r="BL3" s="80"/>
      <c r="BM3" s="80"/>
      <c r="BN3" s="80"/>
      <c r="BO3" s="80"/>
      <c r="BP3" s="80"/>
      <c r="BQ3" s="80"/>
      <c r="BR3" s="80"/>
      <c r="BS3" s="80"/>
      <c r="BT3" s="74"/>
      <c r="BU3" s="74"/>
      <c r="BV3" s="74"/>
      <c r="BW3" s="74"/>
      <c r="BX3" s="74"/>
      <c r="BY3" s="74"/>
      <c r="BZ3" s="74"/>
      <c r="CA3" s="74"/>
      <c r="CB3" s="74"/>
      <c r="CC3" s="74"/>
      <c r="CD3" s="74"/>
      <c r="CE3" s="74"/>
      <c r="CH3"/>
      <c r="CI3" s="293"/>
      <c r="CK3" s="25"/>
      <c r="CL3" s="26"/>
      <c r="CM3" s="28"/>
      <c r="CN3" s="26"/>
      <c r="CS3" s="28"/>
      <c r="DG3" s="27"/>
    </row>
    <row r="4" spans="1:111" ht="17.25" customHeight="1">
      <c r="A4" s="62"/>
      <c r="G4" s="532"/>
      <c r="H4" s="534" t="s">
        <v>237</v>
      </c>
      <c r="I4" s="714"/>
      <c r="J4" s="715"/>
      <c r="K4" s="715"/>
      <c r="L4" s="715"/>
      <c r="M4" s="735"/>
      <c r="N4" s="303"/>
      <c r="O4" s="303"/>
      <c r="P4" s="683">
        <f>I4</f>
        <v>0</v>
      </c>
      <c r="Q4" s="683"/>
      <c r="R4" s="683"/>
      <c r="S4" s="684"/>
      <c r="T4" s="61"/>
      <c r="U4" s="45"/>
      <c r="V4" s="62"/>
      <c r="X4" s="90">
        <f>ROUNDUP(X3,0)</f>
        <v>450</v>
      </c>
      <c r="Y4" s="80"/>
      <c r="Z4" s="80"/>
      <c r="AA4" s="80"/>
      <c r="AB4" s="80"/>
      <c r="AC4" s="80"/>
      <c r="AD4" s="85">
        <f>AD3+1440</f>
        <v>1860</v>
      </c>
      <c r="AE4" s="80"/>
      <c r="AF4" s="80"/>
      <c r="AG4" s="80"/>
      <c r="AH4" s="80"/>
      <c r="AI4" s="80"/>
      <c r="AJ4" s="80"/>
      <c r="AK4" s="80"/>
      <c r="AL4" s="80"/>
      <c r="AM4" s="80"/>
      <c r="AN4" s="80"/>
      <c r="AO4" s="80"/>
      <c r="AP4" s="80"/>
      <c r="AQ4" s="80"/>
      <c r="AR4" s="80"/>
      <c r="AS4" s="80"/>
      <c r="AT4" s="80"/>
      <c r="AU4" s="80"/>
      <c r="AV4" s="80"/>
      <c r="AW4" s="80"/>
      <c r="AX4" s="80"/>
      <c r="AY4" s="80"/>
      <c r="AZ4" s="91"/>
      <c r="BA4" s="91"/>
      <c r="BB4" s="80"/>
      <c r="BC4" s="80"/>
      <c r="BD4" s="80"/>
      <c r="BE4" s="80"/>
      <c r="BF4" s="80"/>
      <c r="BG4" s="80"/>
      <c r="BH4" s="80"/>
      <c r="BI4" s="80"/>
      <c r="BJ4" s="80"/>
      <c r="BK4" s="80"/>
      <c r="BL4" s="80"/>
      <c r="BM4" s="80"/>
      <c r="BN4" s="80"/>
      <c r="BO4" s="80"/>
      <c r="BP4" s="80"/>
      <c r="BQ4" s="80"/>
      <c r="BR4" s="80"/>
      <c r="BS4" s="74"/>
      <c r="BT4" s="74"/>
      <c r="BU4" s="74"/>
      <c r="BV4" s="74"/>
      <c r="BW4" s="74"/>
      <c r="BX4" s="74"/>
      <c r="BY4" s="74"/>
      <c r="BZ4" s="74"/>
      <c r="CA4" s="74"/>
      <c r="CB4" s="74"/>
      <c r="CC4" s="74"/>
      <c r="CD4" s="74"/>
      <c r="CE4" s="74"/>
    </row>
    <row r="5" spans="1:111" ht="17.25" customHeight="1">
      <c r="A5" s="62"/>
      <c r="G5" s="532"/>
      <c r="H5" s="534" t="s">
        <v>238</v>
      </c>
      <c r="I5" s="714"/>
      <c r="J5" s="715"/>
      <c r="K5" s="715"/>
      <c r="L5" s="715"/>
      <c r="M5" s="735"/>
      <c r="N5" s="303"/>
      <c r="O5" s="303"/>
      <c r="P5" s="683">
        <f>I5</f>
        <v>0</v>
      </c>
      <c r="Q5" s="683"/>
      <c r="R5" s="683"/>
      <c r="S5" s="684"/>
      <c r="T5" s="61"/>
      <c r="U5" s="45"/>
      <c r="V5" s="62"/>
      <c r="Y5" s="74"/>
      <c r="Z5" s="74"/>
      <c r="AA5" s="74"/>
      <c r="AB5" s="80"/>
      <c r="AC5" s="80"/>
      <c r="AD5" s="80"/>
      <c r="AE5" s="80"/>
      <c r="AF5" s="80"/>
      <c r="AG5" s="80"/>
      <c r="AH5" s="80"/>
      <c r="AI5" s="80"/>
      <c r="AJ5" s="80"/>
      <c r="AK5" s="80"/>
      <c r="AL5" s="80"/>
      <c r="AM5" s="80"/>
      <c r="AN5" s="80"/>
      <c r="AO5" s="80"/>
      <c r="AP5" s="80"/>
      <c r="AQ5" s="80"/>
      <c r="AR5" s="80"/>
      <c r="AS5" s="80"/>
      <c r="AT5" s="80"/>
      <c r="AU5" s="80"/>
      <c r="AV5" s="80"/>
      <c r="AW5" s="80"/>
      <c r="AX5" s="80"/>
      <c r="AY5" s="80"/>
      <c r="AZ5" s="91"/>
      <c r="BA5" s="91"/>
      <c r="BB5" s="80"/>
      <c r="BC5" s="80"/>
      <c r="BD5" s="80"/>
      <c r="BE5" s="80"/>
      <c r="BF5" s="80"/>
      <c r="BG5" s="80"/>
      <c r="BH5" s="80"/>
      <c r="BI5" s="80"/>
      <c r="BJ5" s="80"/>
      <c r="BK5" s="80"/>
      <c r="BL5" s="80"/>
      <c r="BM5" s="80"/>
      <c r="BN5" s="80"/>
      <c r="BO5" s="80"/>
      <c r="BP5" s="80"/>
      <c r="BQ5" s="80"/>
      <c r="BR5" s="80"/>
      <c r="BS5" s="74"/>
      <c r="BT5" s="74"/>
      <c r="BU5" s="74"/>
      <c r="BV5" s="74"/>
      <c r="BW5" s="74"/>
      <c r="BX5" s="74"/>
      <c r="BY5" s="74"/>
      <c r="BZ5" s="74"/>
      <c r="CA5" s="74"/>
      <c r="CB5" s="74"/>
      <c r="CC5" s="74"/>
      <c r="CD5" s="74"/>
      <c r="CE5" s="74"/>
    </row>
    <row r="6" spans="1:111" ht="17.25" customHeight="1">
      <c r="A6" s="62"/>
      <c r="G6" s="532"/>
      <c r="H6" s="534" t="s">
        <v>525</v>
      </c>
      <c r="I6" s="714"/>
      <c r="J6" s="715"/>
      <c r="K6" s="715"/>
      <c r="L6" s="715"/>
      <c r="M6" s="619" t="s">
        <v>247</v>
      </c>
      <c r="N6" s="303"/>
      <c r="O6" s="303"/>
      <c r="P6" s="683">
        <f>I6</f>
        <v>0</v>
      </c>
      <c r="Q6" s="683"/>
      <c r="R6" s="683"/>
      <c r="S6" s="305" t="s">
        <v>293</v>
      </c>
      <c r="T6" s="61"/>
      <c r="U6" s="45"/>
      <c r="V6" s="62"/>
      <c r="X6" s="74"/>
      <c r="Y6" s="74"/>
      <c r="Z6" s="74"/>
      <c r="AA6" s="74"/>
      <c r="AB6" s="80"/>
      <c r="AC6" s="80"/>
      <c r="AD6" s="80"/>
      <c r="AE6" s="80"/>
      <c r="AF6" s="80"/>
      <c r="AG6" s="80"/>
      <c r="AH6" s="80"/>
      <c r="AI6" s="80"/>
      <c r="AJ6" s="80"/>
      <c r="AK6" s="80"/>
      <c r="AL6" s="80"/>
      <c r="AM6" s="80"/>
      <c r="AN6" s="80"/>
      <c r="AO6" s="80"/>
      <c r="AP6" s="80"/>
      <c r="AQ6" s="80"/>
      <c r="AR6" s="80"/>
      <c r="AS6" s="80"/>
      <c r="AT6" s="80"/>
      <c r="AU6" s="80"/>
      <c r="AV6" s="80"/>
      <c r="AW6" s="80"/>
      <c r="AX6" s="80"/>
      <c r="AY6" s="80"/>
      <c r="AZ6" s="91"/>
      <c r="BA6" s="91"/>
      <c r="BB6" s="80"/>
      <c r="BC6" s="80"/>
      <c r="BD6" s="80"/>
      <c r="BE6" s="80"/>
      <c r="BF6" s="80"/>
      <c r="BG6" s="80"/>
      <c r="BH6" s="80"/>
      <c r="BI6" s="80"/>
      <c r="BJ6" s="80"/>
      <c r="BK6" s="80"/>
      <c r="BL6" s="80"/>
      <c r="BM6" s="80"/>
      <c r="BN6" s="80"/>
      <c r="BO6" s="80"/>
      <c r="BP6" s="80"/>
      <c r="BQ6" s="80"/>
      <c r="BR6" s="80"/>
      <c r="BS6" s="74"/>
      <c r="BT6" s="74"/>
      <c r="BU6" s="490" t="s">
        <v>432</v>
      </c>
      <c r="BV6" s="74"/>
      <c r="BW6" s="74"/>
      <c r="BX6" s="74"/>
      <c r="BY6" s="74"/>
      <c r="BZ6" s="74"/>
      <c r="CA6" s="74"/>
      <c r="CB6" s="74"/>
      <c r="CC6" s="74"/>
      <c r="CD6" s="74"/>
      <c r="CE6" s="74"/>
    </row>
    <row r="7" spans="1:111" ht="17.25" customHeight="1" thickBot="1">
      <c r="A7" s="306" t="str">
        <f>IF(勤怠タイプNo=1,"","お客様名："&amp;INDEX(CK10:CK28,勤怠タイプNo,1))</f>
        <v/>
      </c>
      <c r="B7" s="306"/>
      <c r="C7" s="306"/>
      <c r="D7" s="306"/>
      <c r="E7" s="306"/>
      <c r="F7" s="306"/>
      <c r="G7" s="532"/>
      <c r="H7" s="535" t="s">
        <v>229</v>
      </c>
      <c r="I7" s="716"/>
      <c r="J7" s="717"/>
      <c r="K7" s="717"/>
      <c r="L7" s="717"/>
      <c r="M7" s="718"/>
      <c r="N7" s="304"/>
      <c r="O7" s="304"/>
      <c r="P7" s="685">
        <f>I7</f>
        <v>0</v>
      </c>
      <c r="Q7" s="685"/>
      <c r="R7" s="685"/>
      <c r="S7" s="686"/>
      <c r="T7" s="61"/>
      <c r="U7" s="45"/>
      <c r="V7" s="62"/>
      <c r="X7" s="74"/>
      <c r="Y7" s="74"/>
      <c r="Z7" s="74"/>
      <c r="AA7" s="74"/>
      <c r="AB7" s="80"/>
      <c r="AC7" s="80"/>
      <c r="AD7" s="80"/>
      <c r="AE7" s="80"/>
      <c r="AF7" s="80"/>
      <c r="AG7" s="80"/>
      <c r="AH7" s="80"/>
      <c r="AI7" s="80"/>
      <c r="AJ7" s="80"/>
      <c r="AK7" s="80"/>
      <c r="AL7" s="80"/>
      <c r="AM7" s="80"/>
      <c r="AN7" s="80"/>
      <c r="AO7" s="80"/>
      <c r="AP7" s="80"/>
      <c r="AQ7" s="80"/>
      <c r="AR7" s="80"/>
      <c r="AS7" s="80"/>
      <c r="AT7" s="80"/>
      <c r="AU7" s="80"/>
      <c r="AV7" s="80"/>
      <c r="AW7" s="80"/>
      <c r="AX7" s="80"/>
      <c r="AY7" s="80"/>
      <c r="AZ7" s="91"/>
      <c r="BA7" s="91"/>
      <c r="BB7" s="80"/>
      <c r="BC7" s="80"/>
      <c r="BD7" s="80"/>
      <c r="BE7" s="80"/>
      <c r="BF7" s="80"/>
      <c r="BG7" s="80"/>
      <c r="BH7" s="80"/>
      <c r="BI7" s="80"/>
      <c r="BJ7" s="80"/>
      <c r="BK7" s="80"/>
      <c r="BL7" s="80"/>
      <c r="BM7" s="80"/>
      <c r="BN7" s="80"/>
      <c r="BO7" s="80"/>
      <c r="BP7" s="80"/>
      <c r="BQ7" s="80"/>
      <c r="BR7" s="80"/>
      <c r="BS7" s="74"/>
      <c r="BT7" s="74"/>
      <c r="BU7" s="74"/>
      <c r="BV7" s="74"/>
      <c r="BW7" s="74"/>
      <c r="BX7" s="74"/>
      <c r="BY7" s="74"/>
      <c r="BZ7" s="74"/>
      <c r="CA7" s="74"/>
      <c r="CB7" s="74"/>
      <c r="CC7" s="74"/>
      <c r="CD7" s="74"/>
      <c r="CE7" s="74"/>
      <c r="CI7" s="289" t="s">
        <v>526</v>
      </c>
    </row>
    <row r="8" spans="1:111" ht="8.25" customHeight="1" thickTop="1" thickBot="1">
      <c r="A8" s="62"/>
      <c r="F8" s="47"/>
      <c r="G8" s="47"/>
      <c r="H8" s="48"/>
      <c r="I8" s="49"/>
      <c r="J8" s="49"/>
      <c r="K8" s="43"/>
      <c r="L8" s="43"/>
      <c r="M8" s="43"/>
      <c r="N8" s="60"/>
      <c r="O8" s="43"/>
      <c r="P8" s="43"/>
      <c r="Q8" s="43"/>
      <c r="R8" s="43"/>
      <c r="S8" s="44"/>
      <c r="T8" s="61"/>
      <c r="U8" s="45"/>
      <c r="V8" s="62"/>
      <c r="W8" s="62"/>
      <c r="X8" s="92"/>
      <c r="Y8" s="93"/>
      <c r="Z8" s="93"/>
      <c r="AA8" s="93"/>
      <c r="AB8" s="93"/>
      <c r="AC8" s="93"/>
      <c r="AD8" s="93"/>
      <c r="AE8" s="93"/>
      <c r="AF8" s="93"/>
      <c r="AG8" s="93"/>
      <c r="AH8" s="93"/>
      <c r="AI8" s="93"/>
      <c r="AJ8" s="93"/>
      <c r="AK8" s="93"/>
      <c r="AL8" s="93"/>
      <c r="AM8" s="93"/>
      <c r="AN8" s="93"/>
      <c r="AO8" s="93"/>
      <c r="AP8" s="93"/>
      <c r="AQ8" s="93"/>
      <c r="AR8" s="93"/>
      <c r="AS8" s="93"/>
      <c r="AT8" s="93"/>
      <c r="AU8" s="93"/>
      <c r="AV8" s="93"/>
      <c r="AW8" s="93"/>
      <c r="AX8" s="93"/>
      <c r="AY8" s="93"/>
      <c r="AZ8" s="94"/>
      <c r="BA8" s="94"/>
      <c r="BB8" s="94"/>
      <c r="BC8" s="95" t="s">
        <v>69</v>
      </c>
      <c r="BD8" s="96"/>
      <c r="BE8" s="97"/>
      <c r="BF8" s="97"/>
      <c r="BG8" s="95" t="s">
        <v>70</v>
      </c>
      <c r="BH8" s="97"/>
      <c r="BI8" s="98" t="s">
        <v>71</v>
      </c>
      <c r="BJ8" s="97"/>
      <c r="BK8" s="95" t="s">
        <v>527</v>
      </c>
      <c r="BL8" s="97"/>
      <c r="BM8" s="95" t="s">
        <v>528</v>
      </c>
      <c r="BN8" s="96"/>
      <c r="BO8" s="97"/>
      <c r="BP8" s="95" t="s">
        <v>529</v>
      </c>
      <c r="BQ8" s="96"/>
      <c r="BR8" s="96"/>
      <c r="BS8" s="99"/>
      <c r="BT8" s="74"/>
      <c r="BU8" s="277" t="s">
        <v>72</v>
      </c>
      <c r="BV8" s="278" t="s">
        <v>255</v>
      </c>
      <c r="BW8" s="279" t="s">
        <v>73</v>
      </c>
      <c r="BX8" s="278" t="s">
        <v>74</v>
      </c>
      <c r="BY8" s="278" t="s">
        <v>75</v>
      </c>
      <c r="BZ8" s="278" t="s">
        <v>76</v>
      </c>
      <c r="CA8" s="278" t="s">
        <v>77</v>
      </c>
      <c r="CB8" s="280" t="s">
        <v>78</v>
      </c>
      <c r="CC8" s="280" t="s">
        <v>380</v>
      </c>
      <c r="CD8" s="74"/>
      <c r="CE8" s="280" t="s">
        <v>381</v>
      </c>
    </row>
    <row r="9" spans="1:111" ht="24.75" customHeight="1" thickBot="1">
      <c r="A9" s="318" t="s">
        <v>530</v>
      </c>
      <c r="B9" s="315" t="s">
        <v>41</v>
      </c>
      <c r="C9" s="273" t="s">
        <v>531</v>
      </c>
      <c r="D9" s="719" t="s">
        <v>532</v>
      </c>
      <c r="E9" s="720"/>
      <c r="F9" s="720"/>
      <c r="G9" s="570" t="s">
        <v>560</v>
      </c>
      <c r="H9" s="571" t="s">
        <v>292</v>
      </c>
      <c r="I9" s="572" t="s">
        <v>561</v>
      </c>
      <c r="J9" s="530" t="s">
        <v>124</v>
      </c>
      <c r="K9" s="143" t="s">
        <v>44</v>
      </c>
      <c r="L9" s="569" t="s">
        <v>533</v>
      </c>
      <c r="M9" s="568" t="s">
        <v>286</v>
      </c>
      <c r="N9" s="721" t="s">
        <v>45</v>
      </c>
      <c r="O9" s="722"/>
      <c r="P9" s="723" t="s">
        <v>295</v>
      </c>
      <c r="Q9" s="724"/>
      <c r="R9" s="724"/>
      <c r="S9" s="725"/>
      <c r="T9" s="61"/>
      <c r="U9" s="300" t="s">
        <v>46</v>
      </c>
      <c r="V9" s="63" t="s">
        <v>534</v>
      </c>
      <c r="W9" s="62"/>
      <c r="X9" s="100" t="s">
        <v>79</v>
      </c>
      <c r="Y9" s="101" t="s">
        <v>80</v>
      </c>
      <c r="Z9" s="102" t="s">
        <v>81</v>
      </c>
      <c r="AA9" s="102" t="s">
        <v>82</v>
      </c>
      <c r="AB9" s="102" t="s">
        <v>83</v>
      </c>
      <c r="AC9" s="103" t="s">
        <v>84</v>
      </c>
      <c r="AD9" s="104" t="s">
        <v>85</v>
      </c>
      <c r="AE9" s="104" t="s">
        <v>86</v>
      </c>
      <c r="AF9" s="103" t="s">
        <v>87</v>
      </c>
      <c r="AG9" s="104" t="s">
        <v>88</v>
      </c>
      <c r="AH9" s="104" t="s">
        <v>89</v>
      </c>
      <c r="AI9" s="103" t="s">
        <v>90</v>
      </c>
      <c r="AJ9" s="104" t="s">
        <v>91</v>
      </c>
      <c r="AK9" s="104" t="s">
        <v>92</v>
      </c>
      <c r="AL9" s="103" t="s">
        <v>93</v>
      </c>
      <c r="AM9" s="104" t="s">
        <v>94</v>
      </c>
      <c r="AN9" s="104" t="s">
        <v>95</v>
      </c>
      <c r="AO9" s="103" t="s">
        <v>96</v>
      </c>
      <c r="AP9" s="104" t="s">
        <v>97</v>
      </c>
      <c r="AQ9" s="104" t="s">
        <v>98</v>
      </c>
      <c r="AR9" s="103" t="s">
        <v>99</v>
      </c>
      <c r="AS9" s="104" t="s">
        <v>100</v>
      </c>
      <c r="AT9" s="104" t="s">
        <v>101</v>
      </c>
      <c r="AU9" s="103" t="s">
        <v>102</v>
      </c>
      <c r="AV9" s="104" t="s">
        <v>103</v>
      </c>
      <c r="AW9" s="104" t="s">
        <v>104</v>
      </c>
      <c r="AX9" s="103" t="s">
        <v>105</v>
      </c>
      <c r="AY9" s="105" t="s">
        <v>106</v>
      </c>
      <c r="AZ9" s="106" t="s">
        <v>107</v>
      </c>
      <c r="BA9" s="106" t="s">
        <v>108</v>
      </c>
      <c r="BB9" s="106" t="s">
        <v>109</v>
      </c>
      <c r="BC9" s="107" t="s">
        <v>110</v>
      </c>
      <c r="BD9" s="102" t="s">
        <v>111</v>
      </c>
      <c r="BE9" s="108" t="s">
        <v>112</v>
      </c>
      <c r="BF9" s="108" t="s">
        <v>113</v>
      </c>
      <c r="BG9" s="107" t="s">
        <v>114</v>
      </c>
      <c r="BH9" s="108" t="s">
        <v>115</v>
      </c>
      <c r="BI9" s="107" t="s">
        <v>114</v>
      </c>
      <c r="BJ9" s="108" t="s">
        <v>115</v>
      </c>
      <c r="BK9" s="107" t="s">
        <v>114</v>
      </c>
      <c r="BL9" s="108" t="s">
        <v>115</v>
      </c>
      <c r="BM9" s="107" t="s">
        <v>114</v>
      </c>
      <c r="BN9" s="102" t="s">
        <v>113</v>
      </c>
      <c r="BO9" s="108" t="s">
        <v>115</v>
      </c>
      <c r="BP9" s="107" t="s">
        <v>114</v>
      </c>
      <c r="BQ9" s="102" t="s">
        <v>113</v>
      </c>
      <c r="BR9" s="102" t="s">
        <v>116</v>
      </c>
      <c r="BS9" s="109" t="s">
        <v>115</v>
      </c>
      <c r="BT9" s="74"/>
      <c r="BU9" s="465" t="s">
        <v>535</v>
      </c>
      <c r="BV9" s="466" t="s">
        <v>117</v>
      </c>
      <c r="BW9" s="467" t="s">
        <v>117</v>
      </c>
      <c r="BX9" s="466" t="s">
        <v>117</v>
      </c>
      <c r="BY9" s="466" t="s">
        <v>117</v>
      </c>
      <c r="BZ9" s="466" t="s">
        <v>117</v>
      </c>
      <c r="CA9" s="466" t="s">
        <v>117</v>
      </c>
      <c r="CB9" s="468" t="s">
        <v>117</v>
      </c>
      <c r="CC9" s="466" t="s">
        <v>117</v>
      </c>
      <c r="CD9" s="74"/>
      <c r="CE9" s="466" t="s">
        <v>117</v>
      </c>
      <c r="CI9" s="1" t="s">
        <v>536</v>
      </c>
      <c r="CJ9" s="1" t="s">
        <v>132</v>
      </c>
      <c r="CK9" s="2" t="s">
        <v>6</v>
      </c>
      <c r="CL9" s="3" t="s">
        <v>7</v>
      </c>
      <c r="CM9" s="2" t="s">
        <v>8</v>
      </c>
      <c r="CN9" s="4" t="s">
        <v>9</v>
      </c>
      <c r="CO9" s="4" t="s">
        <v>10</v>
      </c>
      <c r="CP9" s="3" t="s">
        <v>11</v>
      </c>
      <c r="CQ9" s="3" t="s">
        <v>12</v>
      </c>
      <c r="CR9" s="3" t="s">
        <v>13</v>
      </c>
      <c r="CS9" s="5" t="s">
        <v>14</v>
      </c>
      <c r="CT9" s="5" t="s">
        <v>15</v>
      </c>
      <c r="CU9" s="5" t="s">
        <v>16</v>
      </c>
      <c r="CV9" s="5" t="s">
        <v>17</v>
      </c>
      <c r="CW9" s="5" t="s">
        <v>18</v>
      </c>
      <c r="CX9" s="5" t="s">
        <v>19</v>
      </c>
      <c r="CY9" s="5" t="s">
        <v>20</v>
      </c>
      <c r="CZ9" s="5" t="s">
        <v>21</v>
      </c>
      <c r="DA9" s="5" t="s">
        <v>22</v>
      </c>
      <c r="DB9" s="5" t="s">
        <v>23</v>
      </c>
      <c r="DC9" s="5" t="s">
        <v>24</v>
      </c>
      <c r="DD9" s="5" t="s">
        <v>25</v>
      </c>
      <c r="DE9" s="5" t="s">
        <v>26</v>
      </c>
      <c r="DF9" s="5" t="s">
        <v>27</v>
      </c>
    </row>
    <row r="10" spans="1:111" ht="18" customHeight="1" thickTop="1">
      <c r="A10" s="487">
        <f>B2</f>
        <v>43374</v>
      </c>
      <c r="B10" s="316">
        <f t="shared" ref="B10:B40" si="1">IF(A10="","",WEEKDAY(A10))</f>
        <v>2</v>
      </c>
      <c r="C10" s="64"/>
      <c r="D10" s="542"/>
      <c r="E10" s="301" t="s">
        <v>537</v>
      </c>
      <c r="F10" s="545"/>
      <c r="G10" s="457"/>
      <c r="H10" s="558"/>
      <c r="I10" s="555"/>
      <c r="J10" s="313">
        <f>IF(A10="","",作業時間報告書!BJ10)</f>
        <v>0.3125</v>
      </c>
      <c r="K10" s="51">
        <f>TIME(0,作業時間報告書!BC10,0)</f>
        <v>0</v>
      </c>
      <c r="L10" s="548">
        <f>IF(A10="","",作業時間報告書!BE10)</f>
        <v>0</v>
      </c>
      <c r="M10" s="551">
        <f>IF(A10="","",作業時間報告書!BH10)</f>
        <v>0</v>
      </c>
      <c r="N10" s="311"/>
      <c r="O10" s="52" t="str">
        <f>IF(A10="","",作業時間報告書!BS10)</f>
        <v>-7:30</v>
      </c>
      <c r="P10" s="726"/>
      <c r="Q10" s="726"/>
      <c r="R10" s="727"/>
      <c r="S10" s="728"/>
      <c r="T10" s="65"/>
      <c r="U10" s="45">
        <f t="shared" ref="U10:U40" si="2">IF(AND(AND(B10&gt;1,B10&lt;7),ISNA(MATCH(A10,休日カレンダ,FALSE))),1,0)</f>
        <v>1</v>
      </c>
      <c r="V10" s="62" t="b">
        <f>AND($H10&gt;0,$BB10=0)</f>
        <v>0</v>
      </c>
      <c r="W10" s="62"/>
      <c r="X10" s="110">
        <f>作業時間報告書!A10</f>
        <v>43374</v>
      </c>
      <c r="Y10" s="111">
        <f>INT(IF(ISNUMBER(D10),D10,0)*24*60)</f>
        <v>0</v>
      </c>
      <c r="Z10" s="111">
        <f t="shared" ref="Z10:Z40" si="3">IF(Y10=0,0,IF(Y10&lt;AD$3,AD$3,ROUNDUP(Y10/Y$3,0)*Y$3))</f>
        <v>0</v>
      </c>
      <c r="AA10" s="111">
        <f>INT(IF(ISNUMBER(F10),F10,0)*24*60)</f>
        <v>0</v>
      </c>
      <c r="AB10" s="77">
        <f t="shared" ref="AB10:AB40" si="4">IF(AA10&gt;AD$4,AD$4,IF(Q$2=1,IF(AND(AA10&gt;$AI$3,AA10&lt;$AJ$3),$AI$3,AA10),INT(AA10/Y$3)*Y$3))</f>
        <v>0</v>
      </c>
      <c r="AC10" s="112">
        <f t="shared" ref="AC10:AC40" si="5">IF(AA10=0,0,IF(Y10=0,0,IF($AC$3&lt;=$AA10,MAX(AC$3-$Z10,0),MAX($AB10-$Z10,0))))</f>
        <v>0</v>
      </c>
      <c r="AD10" s="111">
        <f t="shared" ref="AD10:AD40" si="6">IF($Y10=0,0,MAX(AC$3,$Z10))</f>
        <v>0</v>
      </c>
      <c r="AE10" s="77">
        <f t="shared" ref="AE10:AE40" si="7">IF($Y10=0,0,MIN(AE$3,$AB10))</f>
        <v>0</v>
      </c>
      <c r="AF10" s="113">
        <f t="shared" ref="AF10:AF40" si="8">MAX(AE10-AD10,0)</f>
        <v>0</v>
      </c>
      <c r="AG10" s="77">
        <f t="shared" ref="AG10:AG40" si="9">IF($Y10=0,0,MAX(AF$3,$Z10))</f>
        <v>0</v>
      </c>
      <c r="AH10" s="77">
        <f>IF($Y10=0,0,IF(CC10=0,MIN(AI$3,$AB10),MIN($AH$3,$AB10)))</f>
        <v>0</v>
      </c>
      <c r="AI10" s="112">
        <f t="shared" ref="AI10:AI40" si="10">MAX(AH10-AG10,0)</f>
        <v>0</v>
      </c>
      <c r="AJ10" s="77">
        <f t="shared" ref="AJ10:AJ40" si="11">IF($Y10=0,0,MAX(AJ$3,$Z10))</f>
        <v>0</v>
      </c>
      <c r="AK10" s="77">
        <f t="shared" ref="AK10:AK40" si="12">IF($Y10=0,0,MIN(AL$3,$AB10))</f>
        <v>0</v>
      </c>
      <c r="AL10" s="112">
        <f t="shared" ref="AL10:AL40" si="13">MAX(AK10-AJ10,0)</f>
        <v>0</v>
      </c>
      <c r="AM10" s="77">
        <f t="shared" ref="AM10:AM40" si="14">IF($Y10=0,0,MAX(AM$3,$Z10))</f>
        <v>0</v>
      </c>
      <c r="AN10" s="77">
        <f t="shared" ref="AN10:AN40" si="15">IF($Y10=0,0,MIN(AO$3,$AB10))</f>
        <v>0</v>
      </c>
      <c r="AO10" s="112">
        <f t="shared" ref="AO10:AO40" si="16">MAX(AN10-AM10,0)</f>
        <v>0</v>
      </c>
      <c r="AP10" s="77">
        <f t="shared" ref="AP10:AP40" si="17">IF($Y10=0,0,MAX(AP$3,$Z10))</f>
        <v>0</v>
      </c>
      <c r="AQ10" s="77">
        <f t="shared" ref="AQ10:AQ40" si="18">IF($Y10=0,0,MIN(AR$3,$AB10))</f>
        <v>0</v>
      </c>
      <c r="AR10" s="112">
        <f t="shared" ref="AR10:AR40" si="19">MAX(AQ10-AP10,0)</f>
        <v>0</v>
      </c>
      <c r="AS10" s="77">
        <f t="shared" ref="AS10:AS40" si="20">IF($Y10=0,0,MAX(AS$3,$Z10))</f>
        <v>0</v>
      </c>
      <c r="AT10" s="77">
        <f t="shared" ref="AT10:AT40" si="21">IF($Y10=0,0,MIN(AU$3,$AB10))</f>
        <v>0</v>
      </c>
      <c r="AU10" s="112">
        <f t="shared" ref="AU10:AU40" si="22">MAX(AT10-AS10,0)</f>
        <v>0</v>
      </c>
      <c r="AV10" s="77">
        <f t="shared" ref="AV10:AV40" si="23">IF($Y10=0,0,MAX(AV$3,$Z10))</f>
        <v>0</v>
      </c>
      <c r="AW10" s="77">
        <f t="shared" ref="AW10:AW40" si="24">IF($Y10=0,0,MIN(AX$3,$AB10))</f>
        <v>0</v>
      </c>
      <c r="AX10" s="112">
        <f t="shared" ref="AX10:AX40" si="25">MAX(AW10-AV10,0)</f>
        <v>0</v>
      </c>
      <c r="AY10" s="114">
        <f>IF(作業時間報告書!G10=作業時間報告書!$AY$9,作業時間報告書!$X$4,0)</f>
        <v>0</v>
      </c>
      <c r="AZ10" s="115">
        <f>IF(ISNUMBER(作業時間報告書!I10),作業時間報告書!I10,0)*24*60</f>
        <v>0</v>
      </c>
      <c r="BA10" s="115">
        <f>作業時間報告書!H10*24*60</f>
        <v>0</v>
      </c>
      <c r="BB10" s="115">
        <f t="shared" ref="BB10:BB40" si="26">IF(AND(勤怠タイプNo=1,H10&gt;0,BA10&lt;=BU10,OR(AND(BC10+BA10&gt;法律時間2,BU10-BA10+AZ10&gt;=最低休暇時間2),AND(BC10+BA10&gt;=法律時間1,BC10+BA10&lt;=法律時間2,BU10-BA10+AZ10&gt;=最低休暇時間1),AND(BC10+BA10&lt;=法律時間1))),BA10,0)</f>
        <v>0</v>
      </c>
      <c r="BC10" s="116">
        <f t="shared" ref="BC10:BC40" si="27">AC10+AF10+AI10+AL10+AO10+AR10+AU10+AX10-AZ10</f>
        <v>0</v>
      </c>
      <c r="BD10" s="111">
        <f>IF(G10="",INT(IF(BC10&gt;X$3,X$3+INT((BC10-X$4)/Z$3)*Z$3,BC10))+BB10+AY10,0)</f>
        <v>0</v>
      </c>
      <c r="BE10" s="117">
        <f t="shared" ref="BE10:BE40" si="28">IF(BD10&lt;0,0,TIME(0,BD10,0))</f>
        <v>0</v>
      </c>
      <c r="BF10" s="117">
        <f t="shared" ref="BF10:BF40" si="29">TIME(0,ABS(BD10),0)</f>
        <v>0</v>
      </c>
      <c r="BG10" s="118">
        <f>SUM(BD$10:BD10)</f>
        <v>0</v>
      </c>
      <c r="BH10" s="119">
        <f>BE10</f>
        <v>0</v>
      </c>
      <c r="BI10" s="120">
        <f>IF(作業時間報告書!U10=1,作業時間報告書!$X$4,0)</f>
        <v>450</v>
      </c>
      <c r="BJ10" s="117">
        <f t="shared" ref="BJ10:BJ40" si="30">TIME(0,BI10,0)</f>
        <v>0.3125</v>
      </c>
      <c r="BK10" s="120">
        <f>SUM(BI$10:BI10)</f>
        <v>450</v>
      </c>
      <c r="BL10" s="119">
        <f>BJ10</f>
        <v>0.3125</v>
      </c>
      <c r="BM10" s="120">
        <f t="shared" ref="BM10:BM40" si="31">BD10-BI10</f>
        <v>-450</v>
      </c>
      <c r="BN10" s="121" t="str">
        <f t="shared" ref="BN10:BN40" si="32">IF(BM10=0,"",IF(BM10&lt;0,"-",""))</f>
        <v>-</v>
      </c>
      <c r="BO10" s="119">
        <f>BF10-BJ10</f>
        <v>-0.3125</v>
      </c>
      <c r="BP10" s="120">
        <f>SUM(BM$10:BM10)</f>
        <v>-450</v>
      </c>
      <c r="BQ10" s="121" t="str">
        <f t="shared" ref="BQ10:BQ40" si="33">IF(BP10=0,"",IF(BP10&lt;0,"-",""))</f>
        <v>-</v>
      </c>
      <c r="BR10" s="122">
        <f t="shared" ref="BR10:BR40" si="34">ABS(BP10)</f>
        <v>450</v>
      </c>
      <c r="BS10" s="299" t="str">
        <f>IF(SUM($BO$10:BO10)&lt;0,TEXT(ABS(SUM($BO$10:BO10)),"-[h]:mm"),SUM($BO$10:BO10))</f>
        <v>-7:30</v>
      </c>
      <c r="BT10" s="74"/>
      <c r="BU10" s="123">
        <f>SUM(BV10:CC10)</f>
        <v>0</v>
      </c>
      <c r="BV10" s="123">
        <f>IF(AND($AE$2&lt;&gt;0,$AF$2&lt;&gt;0),IF(AND($AA10&gt;$AE$3,$Z10&lt;$AF$3),IF(AND($Z10&lt;=$AE$3),IF($AA10&gt;=$AF$3,$AF$3-$AE$3,$AA10-$AE$3),IF($AA10&gt;=$AF$3,$AF$3-$Z10,$AA10-$Z10)),0),0)</f>
        <v>0</v>
      </c>
      <c r="BW10" s="123">
        <f t="shared" ref="BW10:BW40" si="35">IF(AND($AI$2&lt;&gt;0,$AJ$2&lt;&gt;0),IF(AND($AA10&gt;$AI$3,$Z10&lt;$AJ$3),IF(AND($Z10&lt;=$AI$3),IF($AA10&gt;=$AJ$3,$AJ$3-$AI$3,$AA10-$AI$3),IF($AA10&gt;=$AJ$3,$AJ$3-$Z10,$AA10-$Z10)),0),0)</f>
        <v>0</v>
      </c>
      <c r="BX10" s="123">
        <f t="shared" ref="BX10:BX40" si="36">IF(AND($AL$2&lt;&gt;0,$AM$2&lt;&gt;0),IF(AND($AA10&gt;$AL$3,$Z10&lt;$AM$3),IF(AND($Z10&lt;=$AL$3),IF($AA10&gt;=$AM$3,$AM$3-$AL$3,$AA10-$AL$3),IF($AA10&gt;=$AM$3,$AM$3-$Z10,$AA10-$Z10)),0),0)</f>
        <v>0</v>
      </c>
      <c r="BY10" s="123">
        <f t="shared" ref="BY10:BY40" si="37">IF(AND($AO$2&lt;&gt;0,$AP$2&lt;&gt;0),IF(AND($AA10&gt;$AO$3,$Z10&lt;$AP$3),IF(AND($Z10&lt;=$AO$3),IF($AA10&gt;=$AP$3,$AP$3-$AO$3,$AA10-$AO$3),IF($AA10&gt;=$AP$3,$AP$3-$Z10,$AA10-$Z10)),0),0)</f>
        <v>0</v>
      </c>
      <c r="BZ10" s="123">
        <f t="shared" ref="BZ10:BZ40" si="38">IF(AND($AR$2&lt;&gt;0,$AS$2&lt;&gt;0),IF(AND($AA10&gt;$AR$3,$Z10&lt;$AS$3),IF(AND($Z10&lt;=$AR$3),IF($AA10&gt;=$AS$3,$AS$3-$AR$3,$AA10-$AR$3),IF($AA10&gt;=$AS$3,$AS$3-$Z10,$AA10-$Z10)),0),0)</f>
        <v>0</v>
      </c>
      <c r="CA10" s="123">
        <f t="shared" ref="CA10:CA40" si="39">IF(AND($AU$2&lt;&gt;0,$AV$2&lt;&gt;0),IF(AND($AA10&gt;$AU$3,$Z10&lt;$AV$3),IF(AND($Z10&lt;=$AU$3),IF($AA10&gt;=$AV$3,$AV$3-$AU$3,$AA10-$AU$3),IF($AA10&gt;=$AV$3,$AV$3-$Z10,$AA10-$Z10)),0),0)</f>
        <v>0</v>
      </c>
      <c r="CB10" s="123">
        <f t="shared" ref="CB10:CB40" si="40">IF(AND($AX$2&lt;&gt;0,$AY$2&lt;&gt;0),IF(AND($AA10&gt;$AX$3,$Z10&lt;$AY$3),IF(AND($Z10&lt;=$AX$3),IF($AA10&gt;=$AY$3,$AY$3-$AX$3,$AA10-$AX$3),IF($AA10&gt;=$AY$3,$AY$3-$Z10,$AA10-$Z10)),0),0)</f>
        <v>0</v>
      </c>
      <c r="CC10" s="123">
        <f>IF(AND(Z10&gt;=$AF$3,Z10&lt;=$AH$3,AB10&gt;=$AH$3),30,0)</f>
        <v>0</v>
      </c>
      <c r="CD10" s="74"/>
      <c r="CE10" s="123">
        <f t="shared" ref="CE10:CE40" si="41">IF(AND(BC10+BA10&gt;法律時間2,BU10-BA10+AZ10&gt;=最低休暇時間2),8,IF(AND(BC10+BA10&gt;=法律時間1,BC10+BA10&lt;=法律時間2,BU10-BA10+AZ10&gt;=最低休暇時間1),6,IF(AND(BC10+BA10&lt;法律時間1),0,-1)))</f>
        <v>0</v>
      </c>
      <c r="CH10" s="294" t="s">
        <v>28</v>
      </c>
      <c r="CI10" s="6">
        <v>1</v>
      </c>
      <c r="CJ10" s="7"/>
      <c r="CK10" s="7"/>
      <c r="CL10" s="8">
        <v>0.3125</v>
      </c>
      <c r="CM10" s="8">
        <v>0.29166666666666669</v>
      </c>
      <c r="CN10" s="8">
        <v>0.375</v>
      </c>
      <c r="CO10" s="8">
        <v>0.72916666666666663</v>
      </c>
      <c r="CP10" s="8">
        <v>6.9444444444444441E-3</v>
      </c>
      <c r="CQ10" s="8">
        <v>6.9444444444444441E-3</v>
      </c>
      <c r="CR10" s="8">
        <v>6.9444444444444441E-3</v>
      </c>
      <c r="CS10" s="8">
        <v>0.5</v>
      </c>
      <c r="CT10" s="8">
        <v>0.54166666666666663</v>
      </c>
      <c r="CU10" s="8">
        <v>0.8125</v>
      </c>
      <c r="CV10" s="8">
        <v>0.83333333333333337</v>
      </c>
      <c r="CW10" s="8">
        <v>1</v>
      </c>
      <c r="CX10" s="8">
        <v>1.0416666666666667</v>
      </c>
      <c r="CY10" s="8">
        <v>1.2083333333333333</v>
      </c>
      <c r="CZ10" s="8">
        <v>1.2916666666666667</v>
      </c>
      <c r="DA10" s="8"/>
      <c r="DB10" s="8"/>
      <c r="DC10" s="8"/>
      <c r="DD10" s="8"/>
      <c r="DE10" s="8"/>
      <c r="DF10" s="8"/>
    </row>
    <row r="11" spans="1:111" ht="18" customHeight="1">
      <c r="A11" s="488">
        <f>A10+1</f>
        <v>43375</v>
      </c>
      <c r="B11" s="317">
        <f t="shared" si="1"/>
        <v>3</v>
      </c>
      <c r="C11" s="66"/>
      <c r="D11" s="542"/>
      <c r="E11" s="301" t="s">
        <v>538</v>
      </c>
      <c r="F11" s="545"/>
      <c r="G11" s="456"/>
      <c r="H11" s="558"/>
      <c r="I11" s="556"/>
      <c r="J11" s="314">
        <f>IF(A11="","",作業時間報告書!BJ11)</f>
        <v>0.3125</v>
      </c>
      <c r="K11" s="51">
        <f>TIME(0,作業時間報告書!BC11,0)</f>
        <v>0</v>
      </c>
      <c r="L11" s="549">
        <f>IF(A11="","",作業時間報告書!BE11)</f>
        <v>0</v>
      </c>
      <c r="M11" s="552">
        <f>IF(A11="","",作業時間報告書!BH11)</f>
        <v>0</v>
      </c>
      <c r="N11" s="312"/>
      <c r="O11" s="55" t="str">
        <f>IF(A11="","",作業時間報告書!BS11)</f>
        <v>-15:00</v>
      </c>
      <c r="P11" s="708"/>
      <c r="Q11" s="708"/>
      <c r="R11" s="709"/>
      <c r="S11" s="710"/>
      <c r="T11" s="65"/>
      <c r="U11" s="45">
        <f t="shared" si="2"/>
        <v>1</v>
      </c>
      <c r="V11" s="62" t="b">
        <f t="shared" ref="V11:V40" si="42">AND($H11&gt;0,$BB11=0)</f>
        <v>0</v>
      </c>
      <c r="W11" s="62"/>
      <c r="X11" s="110">
        <f>作業時間報告書!A11</f>
        <v>43375</v>
      </c>
      <c r="Y11" s="111">
        <f t="shared" ref="Y11:Y40" si="43">INT(IF(ISNUMBER(D11),D11,0)*24*60)</f>
        <v>0</v>
      </c>
      <c r="Z11" s="111">
        <f t="shared" si="3"/>
        <v>0</v>
      </c>
      <c r="AA11" s="111">
        <f t="shared" ref="AA11:AA40" si="44">INT(IF(ISNUMBER(F11),F11,0)*24*60)</f>
        <v>0</v>
      </c>
      <c r="AB11" s="77">
        <f t="shared" si="4"/>
        <v>0</v>
      </c>
      <c r="AC11" s="112">
        <f t="shared" si="5"/>
        <v>0</v>
      </c>
      <c r="AD11" s="111">
        <f t="shared" si="6"/>
        <v>0</v>
      </c>
      <c r="AE11" s="77">
        <f t="shared" si="7"/>
        <v>0</v>
      </c>
      <c r="AF11" s="113">
        <f t="shared" si="8"/>
        <v>0</v>
      </c>
      <c r="AG11" s="77">
        <f t="shared" si="9"/>
        <v>0</v>
      </c>
      <c r="AH11" s="77">
        <f t="shared" ref="AH11:AH40" si="45">IF($Y11=0,0,IF(CC11=0,MIN(AI$3,$AB11),MIN($AH$3,$AB11)))</f>
        <v>0</v>
      </c>
      <c r="AI11" s="112">
        <f>MAX(AH11-AG11,0)</f>
        <v>0</v>
      </c>
      <c r="AJ11" s="77">
        <f t="shared" si="11"/>
        <v>0</v>
      </c>
      <c r="AK11" s="77">
        <f t="shared" si="12"/>
        <v>0</v>
      </c>
      <c r="AL11" s="112">
        <f t="shared" si="13"/>
        <v>0</v>
      </c>
      <c r="AM11" s="77">
        <f t="shared" si="14"/>
        <v>0</v>
      </c>
      <c r="AN11" s="77">
        <f t="shared" si="15"/>
        <v>0</v>
      </c>
      <c r="AO11" s="112">
        <f t="shared" si="16"/>
        <v>0</v>
      </c>
      <c r="AP11" s="77">
        <f t="shared" si="17"/>
        <v>0</v>
      </c>
      <c r="AQ11" s="77">
        <f t="shared" si="18"/>
        <v>0</v>
      </c>
      <c r="AR11" s="112">
        <f t="shared" si="19"/>
        <v>0</v>
      </c>
      <c r="AS11" s="77">
        <f t="shared" si="20"/>
        <v>0</v>
      </c>
      <c r="AT11" s="77">
        <f t="shared" si="21"/>
        <v>0</v>
      </c>
      <c r="AU11" s="112">
        <f t="shared" si="22"/>
        <v>0</v>
      </c>
      <c r="AV11" s="77">
        <f t="shared" si="23"/>
        <v>0</v>
      </c>
      <c r="AW11" s="77">
        <f t="shared" si="24"/>
        <v>0</v>
      </c>
      <c r="AX11" s="112">
        <f t="shared" si="25"/>
        <v>0</v>
      </c>
      <c r="AY11" s="114">
        <f>IF(作業時間報告書!G11=作業時間報告書!$AY$9,作業時間報告書!$X$4,0)</f>
        <v>0</v>
      </c>
      <c r="AZ11" s="115">
        <f>IF(ISNUMBER(作業時間報告書!I11),作業時間報告書!I11,0)*24*60</f>
        <v>0</v>
      </c>
      <c r="BA11" s="115">
        <f>作業時間報告書!H11*24*60</f>
        <v>0</v>
      </c>
      <c r="BB11" s="115">
        <f t="shared" si="26"/>
        <v>0</v>
      </c>
      <c r="BC11" s="116">
        <f t="shared" si="27"/>
        <v>0</v>
      </c>
      <c r="BD11" s="111">
        <f t="shared" ref="BD11:BD40" si="46">IF(G11="",INT(IF(BC11&gt;X$3,X$3+INT((BC11-X$4)/Z$3)*Z$3,BC11))+BB11+AY11,0)</f>
        <v>0</v>
      </c>
      <c r="BE11" s="117">
        <f t="shared" si="28"/>
        <v>0</v>
      </c>
      <c r="BF11" s="117">
        <f t="shared" si="29"/>
        <v>0</v>
      </c>
      <c r="BG11" s="118">
        <f>SUM(BD$10:BD11)</f>
        <v>0</v>
      </c>
      <c r="BH11" s="119">
        <f>SUM(BE$10:BE11)</f>
        <v>0</v>
      </c>
      <c r="BI11" s="120">
        <f>IF(作業時間報告書!U11=1,作業時間報告書!$X$4,0)</f>
        <v>450</v>
      </c>
      <c r="BJ11" s="117">
        <f t="shared" si="30"/>
        <v>0.3125</v>
      </c>
      <c r="BK11" s="120">
        <f>SUM(BI$10:BI11)</f>
        <v>900</v>
      </c>
      <c r="BL11" s="119">
        <f>SUM(BJ$10:BJ11)</f>
        <v>0.625</v>
      </c>
      <c r="BM11" s="120">
        <f t="shared" si="31"/>
        <v>-450</v>
      </c>
      <c r="BN11" s="121" t="str">
        <f t="shared" si="32"/>
        <v>-</v>
      </c>
      <c r="BO11" s="119">
        <f t="shared" ref="BO11:BO40" si="47">BF11-BJ11</f>
        <v>-0.3125</v>
      </c>
      <c r="BP11" s="120">
        <f>SUM(BM$10:BM11)</f>
        <v>-900</v>
      </c>
      <c r="BQ11" s="121" t="str">
        <f t="shared" si="33"/>
        <v>-</v>
      </c>
      <c r="BR11" s="122">
        <f t="shared" si="34"/>
        <v>900</v>
      </c>
      <c r="BS11" s="299" t="str">
        <f>IF(SUM($BO$10:BO11)&lt;0,TEXT(ABS(SUM($BO$10:BO11)),"-[h]:mm"),SUM($BO$10:BO11))</f>
        <v>-15:00</v>
      </c>
      <c r="BT11" s="124"/>
      <c r="BU11" s="123">
        <f t="shared" ref="BU11:BU40" si="48">SUM(BV11:CC11)</f>
        <v>0</v>
      </c>
      <c r="BV11" s="123">
        <f>IF(AND($AE$2&lt;&gt;0,$AF$2&lt;&gt;0),IF(AND($AA11&gt;$AE$3,$Z11&lt;$AF$3),IF(AND($Z11&lt;=$AE$3),IF($AA11&gt;=$AF$3,$AF$3-$AE$3,$AA11-$AE$3),IF($AA11&gt;=$AF$3,$AF$3-$Z11,$AA11-$Z11)),0),0)</f>
        <v>0</v>
      </c>
      <c r="BW11" s="123">
        <f t="shared" si="35"/>
        <v>0</v>
      </c>
      <c r="BX11" s="123">
        <f t="shared" si="36"/>
        <v>0</v>
      </c>
      <c r="BY11" s="123">
        <f t="shared" si="37"/>
        <v>0</v>
      </c>
      <c r="BZ11" s="123">
        <f t="shared" si="38"/>
        <v>0</v>
      </c>
      <c r="CA11" s="123">
        <f t="shared" si="39"/>
        <v>0</v>
      </c>
      <c r="CB11" s="123">
        <f t="shared" si="40"/>
        <v>0</v>
      </c>
      <c r="CC11" s="123">
        <f t="shared" ref="CC11:CC40" si="49">IF(AND(Z11&gt;=$AF$3,Z11&lt;=$AH$3,AB11&gt;=$AH$3),30,0)</f>
        <v>0</v>
      </c>
      <c r="CD11" s="74"/>
      <c r="CE11" s="123">
        <f t="shared" si="41"/>
        <v>0</v>
      </c>
      <c r="CH11" s="295" t="s">
        <v>265</v>
      </c>
      <c r="CI11" s="9">
        <v>2</v>
      </c>
      <c r="CJ11" s="9" t="s">
        <v>257</v>
      </c>
      <c r="CK11" s="10" t="s">
        <v>551</v>
      </c>
      <c r="CL11" s="11">
        <v>0.3125</v>
      </c>
      <c r="CM11" s="11">
        <v>0.29166666666666669</v>
      </c>
      <c r="CN11" s="11">
        <v>0.375</v>
      </c>
      <c r="CO11" s="11">
        <v>0.72916666666666663</v>
      </c>
      <c r="CP11" s="11">
        <v>6.9444444444444441E-3</v>
      </c>
      <c r="CQ11" s="11">
        <v>6.9444444444444441E-3</v>
      </c>
      <c r="CR11" s="11">
        <v>6.9444444444444441E-3</v>
      </c>
      <c r="CS11" s="11">
        <v>0.5</v>
      </c>
      <c r="CT11" s="11">
        <v>0.54166666666666663</v>
      </c>
      <c r="CU11" s="11">
        <v>0.8125</v>
      </c>
      <c r="CV11" s="11">
        <v>0.83333333333333337</v>
      </c>
      <c r="CW11" s="11">
        <v>1</v>
      </c>
      <c r="CX11" s="11">
        <v>1.0416666666666667</v>
      </c>
      <c r="CY11" s="11">
        <v>1.2083333333333333</v>
      </c>
      <c r="CZ11" s="11">
        <v>1.2916666666666667</v>
      </c>
      <c r="DA11" s="11"/>
      <c r="DB11" s="11"/>
      <c r="DC11" s="11"/>
      <c r="DD11" s="11"/>
      <c r="DE11" s="11"/>
      <c r="DF11" s="11"/>
    </row>
    <row r="12" spans="1:111" ht="18" customHeight="1">
      <c r="A12" s="488">
        <f t="shared" ref="A12:A34" si="50">A11+1</f>
        <v>43376</v>
      </c>
      <c r="B12" s="317">
        <f t="shared" si="1"/>
        <v>4</v>
      </c>
      <c r="C12" s="66"/>
      <c r="D12" s="542"/>
      <c r="E12" s="301" t="s">
        <v>538</v>
      </c>
      <c r="F12" s="545"/>
      <c r="G12" s="456"/>
      <c r="H12" s="559"/>
      <c r="I12" s="556"/>
      <c r="J12" s="314">
        <f>IF(A12="","",作業時間報告書!BJ12)</f>
        <v>0.3125</v>
      </c>
      <c r="K12" s="51">
        <f>TIME(0,作業時間報告書!BC12,0)</f>
        <v>0</v>
      </c>
      <c r="L12" s="549">
        <f>IF(A12="","",作業時間報告書!BE12)</f>
        <v>0</v>
      </c>
      <c r="M12" s="552">
        <f>IF(A12="","",作業時間報告書!BH12)</f>
        <v>0</v>
      </c>
      <c r="N12" s="312"/>
      <c r="O12" s="55" t="str">
        <f>IF(A12="","",作業時間報告書!BS12)</f>
        <v>-22:30</v>
      </c>
      <c r="P12" s="708"/>
      <c r="Q12" s="708"/>
      <c r="R12" s="709"/>
      <c r="S12" s="710"/>
      <c r="T12" s="65"/>
      <c r="U12" s="45">
        <f t="shared" si="2"/>
        <v>1</v>
      </c>
      <c r="V12" s="62" t="b">
        <f t="shared" si="42"/>
        <v>0</v>
      </c>
      <c r="W12" s="62"/>
      <c r="X12" s="110">
        <f>作業時間報告書!A12</f>
        <v>43376</v>
      </c>
      <c r="Y12" s="111">
        <f t="shared" si="43"/>
        <v>0</v>
      </c>
      <c r="Z12" s="111">
        <f t="shared" si="3"/>
        <v>0</v>
      </c>
      <c r="AA12" s="111">
        <f t="shared" si="44"/>
        <v>0</v>
      </c>
      <c r="AB12" s="77">
        <f t="shared" si="4"/>
        <v>0</v>
      </c>
      <c r="AC12" s="112">
        <f t="shared" si="5"/>
        <v>0</v>
      </c>
      <c r="AD12" s="111">
        <f t="shared" si="6"/>
        <v>0</v>
      </c>
      <c r="AE12" s="77">
        <f t="shared" si="7"/>
        <v>0</v>
      </c>
      <c r="AF12" s="113">
        <f t="shared" si="8"/>
        <v>0</v>
      </c>
      <c r="AG12" s="77">
        <f t="shared" si="9"/>
        <v>0</v>
      </c>
      <c r="AH12" s="77">
        <f t="shared" si="45"/>
        <v>0</v>
      </c>
      <c r="AI12" s="112">
        <f t="shared" si="10"/>
        <v>0</v>
      </c>
      <c r="AJ12" s="77">
        <f t="shared" si="11"/>
        <v>0</v>
      </c>
      <c r="AK12" s="77">
        <f t="shared" si="12"/>
        <v>0</v>
      </c>
      <c r="AL12" s="112">
        <f t="shared" si="13"/>
        <v>0</v>
      </c>
      <c r="AM12" s="77">
        <f t="shared" si="14"/>
        <v>0</v>
      </c>
      <c r="AN12" s="77">
        <f t="shared" si="15"/>
        <v>0</v>
      </c>
      <c r="AO12" s="112">
        <f t="shared" si="16"/>
        <v>0</v>
      </c>
      <c r="AP12" s="77">
        <f t="shared" si="17"/>
        <v>0</v>
      </c>
      <c r="AQ12" s="77">
        <f t="shared" si="18"/>
        <v>0</v>
      </c>
      <c r="AR12" s="112">
        <f t="shared" si="19"/>
        <v>0</v>
      </c>
      <c r="AS12" s="77">
        <f t="shared" si="20"/>
        <v>0</v>
      </c>
      <c r="AT12" s="77">
        <f t="shared" si="21"/>
        <v>0</v>
      </c>
      <c r="AU12" s="112">
        <f t="shared" si="22"/>
        <v>0</v>
      </c>
      <c r="AV12" s="77">
        <f t="shared" si="23"/>
        <v>0</v>
      </c>
      <c r="AW12" s="77">
        <f t="shared" si="24"/>
        <v>0</v>
      </c>
      <c r="AX12" s="112">
        <f t="shared" si="25"/>
        <v>0</v>
      </c>
      <c r="AY12" s="114">
        <f>IF(作業時間報告書!G12=作業時間報告書!$AY$9,作業時間報告書!$X$4,0)</f>
        <v>0</v>
      </c>
      <c r="AZ12" s="115">
        <f>IF(ISNUMBER(作業時間報告書!I12),作業時間報告書!I12,0)*24*60</f>
        <v>0</v>
      </c>
      <c r="BA12" s="115">
        <f>作業時間報告書!H12*24*60</f>
        <v>0</v>
      </c>
      <c r="BB12" s="115">
        <f t="shared" si="26"/>
        <v>0</v>
      </c>
      <c r="BC12" s="116">
        <f t="shared" si="27"/>
        <v>0</v>
      </c>
      <c r="BD12" s="111">
        <f t="shared" si="46"/>
        <v>0</v>
      </c>
      <c r="BE12" s="117">
        <f t="shared" si="28"/>
        <v>0</v>
      </c>
      <c r="BF12" s="117">
        <f t="shared" si="29"/>
        <v>0</v>
      </c>
      <c r="BG12" s="118">
        <f>SUM(BD$10:BD12)</f>
        <v>0</v>
      </c>
      <c r="BH12" s="119">
        <f>SUM(BE$10:BE12)</f>
        <v>0</v>
      </c>
      <c r="BI12" s="120">
        <f>IF(作業時間報告書!U12=1,作業時間報告書!$X$4,0)</f>
        <v>450</v>
      </c>
      <c r="BJ12" s="117">
        <f t="shared" si="30"/>
        <v>0.3125</v>
      </c>
      <c r="BK12" s="120">
        <f>SUM(BI$10:BI12)</f>
        <v>1350</v>
      </c>
      <c r="BL12" s="119">
        <f>SUM(BJ$10:BJ12)</f>
        <v>0.9375</v>
      </c>
      <c r="BM12" s="120">
        <f t="shared" si="31"/>
        <v>-450</v>
      </c>
      <c r="BN12" s="121" t="str">
        <f t="shared" si="32"/>
        <v>-</v>
      </c>
      <c r="BO12" s="119">
        <f t="shared" si="47"/>
        <v>-0.3125</v>
      </c>
      <c r="BP12" s="120">
        <f>SUM(BM$10:BM12)</f>
        <v>-1350</v>
      </c>
      <c r="BQ12" s="121" t="str">
        <f t="shared" si="33"/>
        <v>-</v>
      </c>
      <c r="BR12" s="122">
        <f t="shared" si="34"/>
        <v>1350</v>
      </c>
      <c r="BS12" s="299" t="str">
        <f>IF(SUM($BO$10:BO12)&lt;0,TEXT(ABS(SUM($BO$10:BO12)),"-[h]:mm"),SUM($BO$10:BO12))</f>
        <v>-22:30</v>
      </c>
      <c r="BT12" s="124"/>
      <c r="BU12" s="123">
        <f t="shared" si="48"/>
        <v>0</v>
      </c>
      <c r="BV12" s="123">
        <f>IF(AND($AE$2&lt;&gt;0,$AF$2&lt;&gt;0),IF(AND($AA12&gt;$AE$3,$Z12&lt;$AF$3),IF(AND($Z12&lt;=$AE$3),IF($AA12&gt;=$AF$3,$AF$3-$AE$3,$AA12-$AE$3),IF($AA12&gt;=$AF$3,$AF$3-$Z12,$AA12-$Z12)),0),0)</f>
        <v>0</v>
      </c>
      <c r="BW12" s="123">
        <f t="shared" si="35"/>
        <v>0</v>
      </c>
      <c r="BX12" s="123">
        <f t="shared" si="36"/>
        <v>0</v>
      </c>
      <c r="BY12" s="123">
        <f t="shared" si="37"/>
        <v>0</v>
      </c>
      <c r="BZ12" s="123">
        <f t="shared" si="38"/>
        <v>0</v>
      </c>
      <c r="CA12" s="123">
        <f t="shared" si="39"/>
        <v>0</v>
      </c>
      <c r="CB12" s="123">
        <f t="shared" si="40"/>
        <v>0</v>
      </c>
      <c r="CC12" s="123">
        <f t="shared" si="49"/>
        <v>0</v>
      </c>
      <c r="CD12" s="74"/>
      <c r="CE12" s="123">
        <f t="shared" si="41"/>
        <v>0</v>
      </c>
      <c r="CH12" s="295" t="s">
        <v>266</v>
      </c>
      <c r="CI12" s="12">
        <v>3</v>
      </c>
      <c r="CJ12" s="12" t="s">
        <v>266</v>
      </c>
      <c r="CK12" s="517" t="s">
        <v>539</v>
      </c>
      <c r="CL12" s="14">
        <v>0.31944444444444448</v>
      </c>
      <c r="CM12" s="14">
        <v>0.29166666666666669</v>
      </c>
      <c r="CN12" s="14">
        <v>0.375</v>
      </c>
      <c r="CO12" s="14">
        <v>0.75</v>
      </c>
      <c r="CP12" s="14">
        <v>2.0833333333333332E-2</v>
      </c>
      <c r="CQ12" s="14">
        <v>2.0833333333333332E-2</v>
      </c>
      <c r="CR12" s="14">
        <v>2.0833333333333332E-2</v>
      </c>
      <c r="CS12" s="14">
        <v>0.5</v>
      </c>
      <c r="CT12" s="14">
        <v>0.54166666666666663</v>
      </c>
      <c r="CU12" s="14"/>
      <c r="CV12" s="14"/>
      <c r="CW12" s="14"/>
      <c r="CX12" s="14"/>
      <c r="CY12" s="14"/>
      <c r="CZ12" s="14"/>
      <c r="DA12" s="14"/>
      <c r="DB12" s="14"/>
      <c r="DC12" s="14"/>
      <c r="DD12" s="14"/>
      <c r="DE12" s="14"/>
      <c r="DF12" s="14"/>
    </row>
    <row r="13" spans="1:111" ht="18" customHeight="1">
      <c r="A13" s="488">
        <f t="shared" si="50"/>
        <v>43377</v>
      </c>
      <c r="B13" s="317">
        <f t="shared" si="1"/>
        <v>5</v>
      </c>
      <c r="C13" s="66"/>
      <c r="D13" s="542"/>
      <c r="E13" s="301" t="s">
        <v>540</v>
      </c>
      <c r="F13" s="545"/>
      <c r="G13" s="456"/>
      <c r="H13" s="559"/>
      <c r="I13" s="556"/>
      <c r="J13" s="314">
        <f>IF(A13="","",作業時間報告書!BJ13)</f>
        <v>0.3125</v>
      </c>
      <c r="K13" s="51">
        <f>TIME(0,作業時間報告書!BC13,0)</f>
        <v>0</v>
      </c>
      <c r="L13" s="549">
        <f>IF(A13="","",作業時間報告書!BE13)</f>
        <v>0</v>
      </c>
      <c r="M13" s="552">
        <f>IF(A13="","",作業時間報告書!BH13)</f>
        <v>0</v>
      </c>
      <c r="N13" s="312"/>
      <c r="O13" s="55" t="str">
        <f>IF(A13="","",作業時間報告書!BS13)</f>
        <v>-30:00</v>
      </c>
      <c r="P13" s="708"/>
      <c r="Q13" s="708"/>
      <c r="R13" s="709"/>
      <c r="S13" s="710"/>
      <c r="T13" s="65"/>
      <c r="U13" s="45">
        <f t="shared" si="2"/>
        <v>1</v>
      </c>
      <c r="V13" s="62" t="b">
        <f t="shared" si="42"/>
        <v>0</v>
      </c>
      <c r="W13" s="62"/>
      <c r="X13" s="110">
        <f>作業時間報告書!A13</f>
        <v>43377</v>
      </c>
      <c r="Y13" s="111">
        <f t="shared" si="43"/>
        <v>0</v>
      </c>
      <c r="Z13" s="111">
        <f t="shared" si="3"/>
        <v>0</v>
      </c>
      <c r="AA13" s="111">
        <f t="shared" si="44"/>
        <v>0</v>
      </c>
      <c r="AB13" s="77">
        <f t="shared" si="4"/>
        <v>0</v>
      </c>
      <c r="AC13" s="112">
        <f t="shared" si="5"/>
        <v>0</v>
      </c>
      <c r="AD13" s="111">
        <f t="shared" si="6"/>
        <v>0</v>
      </c>
      <c r="AE13" s="77">
        <f t="shared" si="7"/>
        <v>0</v>
      </c>
      <c r="AF13" s="113">
        <f t="shared" si="8"/>
        <v>0</v>
      </c>
      <c r="AG13" s="77">
        <f t="shared" si="9"/>
        <v>0</v>
      </c>
      <c r="AH13" s="77">
        <f t="shared" si="45"/>
        <v>0</v>
      </c>
      <c r="AI13" s="112">
        <f t="shared" si="10"/>
        <v>0</v>
      </c>
      <c r="AJ13" s="77">
        <f t="shared" si="11"/>
        <v>0</v>
      </c>
      <c r="AK13" s="77">
        <f t="shared" si="12"/>
        <v>0</v>
      </c>
      <c r="AL13" s="112">
        <f t="shared" si="13"/>
        <v>0</v>
      </c>
      <c r="AM13" s="77">
        <f t="shared" si="14"/>
        <v>0</v>
      </c>
      <c r="AN13" s="77">
        <f t="shared" si="15"/>
        <v>0</v>
      </c>
      <c r="AO13" s="112">
        <f t="shared" si="16"/>
        <v>0</v>
      </c>
      <c r="AP13" s="77">
        <f t="shared" si="17"/>
        <v>0</v>
      </c>
      <c r="AQ13" s="77">
        <f t="shared" si="18"/>
        <v>0</v>
      </c>
      <c r="AR13" s="112">
        <f t="shared" si="19"/>
        <v>0</v>
      </c>
      <c r="AS13" s="77">
        <f t="shared" si="20"/>
        <v>0</v>
      </c>
      <c r="AT13" s="77">
        <f t="shared" si="21"/>
        <v>0</v>
      </c>
      <c r="AU13" s="112">
        <f t="shared" si="22"/>
        <v>0</v>
      </c>
      <c r="AV13" s="77">
        <f t="shared" si="23"/>
        <v>0</v>
      </c>
      <c r="AW13" s="77">
        <f t="shared" si="24"/>
        <v>0</v>
      </c>
      <c r="AX13" s="112">
        <f t="shared" si="25"/>
        <v>0</v>
      </c>
      <c r="AY13" s="114">
        <f>IF(作業時間報告書!G13=作業時間報告書!$AY$9,作業時間報告書!$X$4,0)</f>
        <v>0</v>
      </c>
      <c r="AZ13" s="115">
        <f>IF(ISNUMBER(作業時間報告書!I13),作業時間報告書!I13,0)*24*60</f>
        <v>0</v>
      </c>
      <c r="BA13" s="115">
        <f>作業時間報告書!H13*24*60</f>
        <v>0</v>
      </c>
      <c r="BB13" s="115">
        <f t="shared" si="26"/>
        <v>0</v>
      </c>
      <c r="BC13" s="116">
        <f t="shared" si="27"/>
        <v>0</v>
      </c>
      <c r="BD13" s="111">
        <f t="shared" si="46"/>
        <v>0</v>
      </c>
      <c r="BE13" s="117">
        <f t="shared" si="28"/>
        <v>0</v>
      </c>
      <c r="BF13" s="117">
        <f t="shared" si="29"/>
        <v>0</v>
      </c>
      <c r="BG13" s="118">
        <f>SUM(BD$10:BD13)</f>
        <v>0</v>
      </c>
      <c r="BH13" s="119">
        <f>SUM(BE$10:BE13)</f>
        <v>0</v>
      </c>
      <c r="BI13" s="120">
        <f>IF(作業時間報告書!U13=1,作業時間報告書!$X$4,0)</f>
        <v>450</v>
      </c>
      <c r="BJ13" s="117">
        <f t="shared" si="30"/>
        <v>0.3125</v>
      </c>
      <c r="BK13" s="120">
        <f>SUM(BI$10:BI13)</f>
        <v>1800</v>
      </c>
      <c r="BL13" s="119">
        <f>SUM(BJ$10:BJ13)</f>
        <v>1.25</v>
      </c>
      <c r="BM13" s="120">
        <f t="shared" si="31"/>
        <v>-450</v>
      </c>
      <c r="BN13" s="121" t="str">
        <f t="shared" si="32"/>
        <v>-</v>
      </c>
      <c r="BO13" s="119">
        <f t="shared" si="47"/>
        <v>-0.3125</v>
      </c>
      <c r="BP13" s="120">
        <f>SUM(BM$10:BM13)</f>
        <v>-1800</v>
      </c>
      <c r="BQ13" s="121" t="str">
        <f t="shared" si="33"/>
        <v>-</v>
      </c>
      <c r="BR13" s="122">
        <f t="shared" si="34"/>
        <v>1800</v>
      </c>
      <c r="BS13" s="299" t="str">
        <f>IF(SUM($BO$10:BO13)&lt;0,TEXT(ABS(SUM($BO$10:BO13)),"-[h]:mm"),SUM($BO$10:BO13))</f>
        <v>-30:00</v>
      </c>
      <c r="BT13" s="124"/>
      <c r="BU13" s="123">
        <f t="shared" si="48"/>
        <v>0</v>
      </c>
      <c r="BV13" s="123">
        <f>IF(AND($AE$2&lt;&gt;0,$AF$2&lt;&gt;0),IF(AND($AA13&gt;$AE$3,$Z13&lt;$AF$3),IF(AND($Z13&lt;=$AE$3),IF($AA13&gt;=$AF$3,$AF$3-$AE$3,$AA13-$AE$3),IF($AA13&gt;=$AF$3,$AF$3-$Z13,$AA13-$Z13)),0),0)</f>
        <v>0</v>
      </c>
      <c r="BW13" s="123">
        <f t="shared" si="35"/>
        <v>0</v>
      </c>
      <c r="BX13" s="123">
        <f t="shared" si="36"/>
        <v>0</v>
      </c>
      <c r="BY13" s="123">
        <f t="shared" si="37"/>
        <v>0</v>
      </c>
      <c r="BZ13" s="123">
        <f t="shared" si="38"/>
        <v>0</v>
      </c>
      <c r="CA13" s="123">
        <f t="shared" si="39"/>
        <v>0</v>
      </c>
      <c r="CB13" s="123">
        <f t="shared" si="40"/>
        <v>0</v>
      </c>
      <c r="CC13" s="123">
        <f t="shared" si="49"/>
        <v>0</v>
      </c>
      <c r="CD13" s="74"/>
      <c r="CE13" s="123">
        <f t="shared" si="41"/>
        <v>0</v>
      </c>
      <c r="CH13" s="295" t="s">
        <v>267</v>
      </c>
      <c r="CI13" s="15">
        <v>4</v>
      </c>
      <c r="CJ13" s="15" t="s">
        <v>267</v>
      </c>
      <c r="CK13" s="518" t="s">
        <v>541</v>
      </c>
      <c r="CL13" s="17">
        <v>0.3125</v>
      </c>
      <c r="CM13" s="17">
        <v>0.29166666666666669</v>
      </c>
      <c r="CN13" s="17">
        <v>0.39583333333333331</v>
      </c>
      <c r="CO13" s="17">
        <v>0.75</v>
      </c>
      <c r="CP13" s="17">
        <v>2.0833333333333332E-2</v>
      </c>
      <c r="CQ13" s="17">
        <v>2.0833333333333332E-2</v>
      </c>
      <c r="CR13" s="17">
        <v>2.0833333333333332E-2</v>
      </c>
      <c r="CS13" s="17">
        <v>0.5</v>
      </c>
      <c r="CT13" s="17">
        <v>0.54166666666666663</v>
      </c>
      <c r="CU13" s="17">
        <v>0.75</v>
      </c>
      <c r="CV13" s="17">
        <v>0.77083333333333337</v>
      </c>
      <c r="CW13" s="17">
        <v>0.85416666666666663</v>
      </c>
      <c r="CX13" s="17">
        <v>0.875</v>
      </c>
      <c r="CY13" s="17">
        <v>1</v>
      </c>
      <c r="CZ13" s="17">
        <v>1.0416666666666667</v>
      </c>
      <c r="DA13" s="17">
        <v>1.2083333333333333</v>
      </c>
      <c r="DB13" s="17">
        <v>1.2916666666666667</v>
      </c>
      <c r="DC13" s="17"/>
      <c r="DD13" s="17"/>
      <c r="DE13" s="17"/>
      <c r="DF13" s="17"/>
    </row>
    <row r="14" spans="1:111" ht="18" customHeight="1">
      <c r="A14" s="488">
        <f t="shared" si="50"/>
        <v>43378</v>
      </c>
      <c r="B14" s="317">
        <f t="shared" si="1"/>
        <v>6</v>
      </c>
      <c r="C14" s="66"/>
      <c r="D14" s="542"/>
      <c r="E14" s="301" t="s">
        <v>542</v>
      </c>
      <c r="F14" s="545"/>
      <c r="G14" s="456"/>
      <c r="H14" s="559"/>
      <c r="I14" s="556"/>
      <c r="J14" s="314">
        <f>IF(A14="","",作業時間報告書!BJ14)</f>
        <v>0.3125</v>
      </c>
      <c r="K14" s="51">
        <f>TIME(0,作業時間報告書!BC14,0)</f>
        <v>0</v>
      </c>
      <c r="L14" s="549">
        <f>IF(A14="","",作業時間報告書!BE14)</f>
        <v>0</v>
      </c>
      <c r="M14" s="552">
        <f>IF(A14="","",作業時間報告書!BH14)</f>
        <v>0</v>
      </c>
      <c r="N14" s="312"/>
      <c r="O14" s="55" t="str">
        <f>IF(A14="","",作業時間報告書!BS14)</f>
        <v>-37:30</v>
      </c>
      <c r="P14" s="708"/>
      <c r="Q14" s="708"/>
      <c r="R14" s="709"/>
      <c r="S14" s="710"/>
      <c r="T14" s="65"/>
      <c r="U14" s="45">
        <f t="shared" si="2"/>
        <v>1</v>
      </c>
      <c r="V14" s="62" t="b">
        <f t="shared" si="42"/>
        <v>0</v>
      </c>
      <c r="W14" s="62"/>
      <c r="X14" s="110">
        <f>作業時間報告書!A14</f>
        <v>43378</v>
      </c>
      <c r="Y14" s="111">
        <f t="shared" si="43"/>
        <v>0</v>
      </c>
      <c r="Z14" s="111">
        <f>IF(Y14=0,0,IF(Y14&lt;AD$3,AD$3,ROUNDUP(Y14/Y$3,0)*Y$3))</f>
        <v>0</v>
      </c>
      <c r="AA14" s="111">
        <f t="shared" si="44"/>
        <v>0</v>
      </c>
      <c r="AB14" s="77">
        <f t="shared" si="4"/>
        <v>0</v>
      </c>
      <c r="AC14" s="112">
        <f t="shared" si="5"/>
        <v>0</v>
      </c>
      <c r="AD14" s="111">
        <f t="shared" si="6"/>
        <v>0</v>
      </c>
      <c r="AE14" s="77">
        <f t="shared" si="7"/>
        <v>0</v>
      </c>
      <c r="AF14" s="113">
        <f t="shared" si="8"/>
        <v>0</v>
      </c>
      <c r="AG14" s="77">
        <f t="shared" si="9"/>
        <v>0</v>
      </c>
      <c r="AH14" s="77">
        <f t="shared" si="45"/>
        <v>0</v>
      </c>
      <c r="AI14" s="112">
        <f t="shared" si="10"/>
        <v>0</v>
      </c>
      <c r="AJ14" s="77">
        <f t="shared" si="11"/>
        <v>0</v>
      </c>
      <c r="AK14" s="77">
        <f t="shared" si="12"/>
        <v>0</v>
      </c>
      <c r="AL14" s="112">
        <f t="shared" si="13"/>
        <v>0</v>
      </c>
      <c r="AM14" s="77">
        <f t="shared" si="14"/>
        <v>0</v>
      </c>
      <c r="AN14" s="77">
        <f t="shared" si="15"/>
        <v>0</v>
      </c>
      <c r="AO14" s="112">
        <f t="shared" si="16"/>
        <v>0</v>
      </c>
      <c r="AP14" s="77">
        <f t="shared" si="17"/>
        <v>0</v>
      </c>
      <c r="AQ14" s="77">
        <f t="shared" si="18"/>
        <v>0</v>
      </c>
      <c r="AR14" s="112">
        <f t="shared" si="19"/>
        <v>0</v>
      </c>
      <c r="AS14" s="77">
        <f t="shared" si="20"/>
        <v>0</v>
      </c>
      <c r="AT14" s="77">
        <f t="shared" si="21"/>
        <v>0</v>
      </c>
      <c r="AU14" s="112">
        <f t="shared" si="22"/>
        <v>0</v>
      </c>
      <c r="AV14" s="77">
        <f t="shared" si="23"/>
        <v>0</v>
      </c>
      <c r="AW14" s="77">
        <f t="shared" si="24"/>
        <v>0</v>
      </c>
      <c r="AX14" s="112">
        <f t="shared" si="25"/>
        <v>0</v>
      </c>
      <c r="AY14" s="114">
        <f>IF(作業時間報告書!G14=作業時間報告書!$AY$9,作業時間報告書!$X$4,0)</f>
        <v>0</v>
      </c>
      <c r="AZ14" s="115">
        <f>IF(ISNUMBER(作業時間報告書!I14),作業時間報告書!I14,0)*24*60</f>
        <v>0</v>
      </c>
      <c r="BA14" s="115">
        <f>作業時間報告書!H14*24*60</f>
        <v>0</v>
      </c>
      <c r="BB14" s="115">
        <f t="shared" si="26"/>
        <v>0</v>
      </c>
      <c r="BC14" s="116">
        <f t="shared" si="27"/>
        <v>0</v>
      </c>
      <c r="BD14" s="111">
        <f t="shared" si="46"/>
        <v>0</v>
      </c>
      <c r="BE14" s="117">
        <f t="shared" si="28"/>
        <v>0</v>
      </c>
      <c r="BF14" s="117">
        <f t="shared" si="29"/>
        <v>0</v>
      </c>
      <c r="BG14" s="118">
        <f>SUM(BD$10:BD14)</f>
        <v>0</v>
      </c>
      <c r="BH14" s="119">
        <f>SUM(BE$10:BE14)</f>
        <v>0</v>
      </c>
      <c r="BI14" s="120">
        <f>IF(作業時間報告書!U14=1,作業時間報告書!$X$4,0)</f>
        <v>450</v>
      </c>
      <c r="BJ14" s="117">
        <f t="shared" si="30"/>
        <v>0.3125</v>
      </c>
      <c r="BK14" s="120">
        <f>SUM(BI$10:BI14)</f>
        <v>2250</v>
      </c>
      <c r="BL14" s="119">
        <f>SUM(BJ$10:BJ14)</f>
        <v>1.5625</v>
      </c>
      <c r="BM14" s="120">
        <f t="shared" si="31"/>
        <v>-450</v>
      </c>
      <c r="BN14" s="121" t="str">
        <f t="shared" si="32"/>
        <v>-</v>
      </c>
      <c r="BO14" s="119">
        <f t="shared" si="47"/>
        <v>-0.3125</v>
      </c>
      <c r="BP14" s="120">
        <f>SUM(BM$10:BM14)</f>
        <v>-2250</v>
      </c>
      <c r="BQ14" s="121" t="str">
        <f t="shared" si="33"/>
        <v>-</v>
      </c>
      <c r="BR14" s="122">
        <f t="shared" si="34"/>
        <v>2250</v>
      </c>
      <c r="BS14" s="299" t="str">
        <f>IF(SUM($BO$10:BO14)&lt;0,TEXT(ABS(SUM($BO$10:BO14)),"-[h]:mm"),SUM($BO$10:BO14))</f>
        <v>-37:30</v>
      </c>
      <c r="BT14" s="124"/>
      <c r="BU14" s="123">
        <f t="shared" si="48"/>
        <v>0</v>
      </c>
      <c r="BV14" s="123">
        <f>IF(AND($AE$2&lt;&gt;0,$AF$2&lt;&gt;0),IF(AND($AA14&gt;$AE$3,$Z14&lt;$AF$3),IF(AND($Z14&lt;=$AE$3),IF($AA14&gt;=$AF$3,$AF$3-$AE$3,$AA14-$AE$3),IF($AA14&gt;=$AF$3,$AF$3-$Z14,$AA14-$Z14)),0),0)</f>
        <v>0</v>
      </c>
      <c r="BW14" s="123">
        <f t="shared" si="35"/>
        <v>0</v>
      </c>
      <c r="BX14" s="123">
        <f t="shared" si="36"/>
        <v>0</v>
      </c>
      <c r="BY14" s="123">
        <f t="shared" si="37"/>
        <v>0</v>
      </c>
      <c r="BZ14" s="123">
        <f t="shared" si="38"/>
        <v>0</v>
      </c>
      <c r="CA14" s="123">
        <f t="shared" si="39"/>
        <v>0</v>
      </c>
      <c r="CB14" s="123">
        <f t="shared" si="40"/>
        <v>0</v>
      </c>
      <c r="CC14" s="123">
        <f t="shared" si="49"/>
        <v>0</v>
      </c>
      <c r="CD14" s="74"/>
      <c r="CE14" s="123">
        <f t="shared" si="41"/>
        <v>0</v>
      </c>
      <c r="CH14" s="295" t="s">
        <v>268</v>
      </c>
      <c r="CI14" s="12">
        <v>5</v>
      </c>
      <c r="CJ14" s="12" t="s">
        <v>268</v>
      </c>
      <c r="CK14" s="517" t="s">
        <v>543</v>
      </c>
      <c r="CL14" s="14">
        <v>0.31944444444444448</v>
      </c>
      <c r="CM14" s="14">
        <v>0.3611111111111111</v>
      </c>
      <c r="CN14" s="14">
        <v>0.3611111111111111</v>
      </c>
      <c r="CO14" s="14">
        <v>0.71527777777777779</v>
      </c>
      <c r="CP14" s="14">
        <v>3.472222222222222E-3</v>
      </c>
      <c r="CQ14" s="14">
        <v>3.472222222222222E-3</v>
      </c>
      <c r="CR14" s="14">
        <v>3.472222222222222E-3</v>
      </c>
      <c r="CS14" s="14">
        <v>0.51041666666666663</v>
      </c>
      <c r="CT14" s="14">
        <v>0.54166666666666663</v>
      </c>
      <c r="CU14" s="14">
        <v>0.71527777777777779</v>
      </c>
      <c r="CV14" s="14">
        <v>0.73958333333333337</v>
      </c>
      <c r="CW14" s="14">
        <v>0.90625</v>
      </c>
      <c r="CX14" s="14">
        <v>0.91666666666666663</v>
      </c>
      <c r="CY14" s="14">
        <v>1.0625</v>
      </c>
      <c r="CZ14" s="14">
        <v>1.1458333333333333</v>
      </c>
      <c r="DA14" s="14">
        <v>1.3125</v>
      </c>
      <c r="DB14" s="14">
        <v>1.3611111111111109</v>
      </c>
      <c r="DC14" s="14"/>
      <c r="DD14" s="14"/>
      <c r="DE14" s="14"/>
      <c r="DF14" s="14"/>
    </row>
    <row r="15" spans="1:111" ht="18" customHeight="1">
      <c r="A15" s="488">
        <f t="shared" si="50"/>
        <v>43379</v>
      </c>
      <c r="B15" s="317">
        <f t="shared" si="1"/>
        <v>7</v>
      </c>
      <c r="C15" s="66"/>
      <c r="D15" s="542"/>
      <c r="E15" s="301" t="s">
        <v>542</v>
      </c>
      <c r="F15" s="545"/>
      <c r="G15" s="456"/>
      <c r="H15" s="559"/>
      <c r="I15" s="556"/>
      <c r="J15" s="314">
        <f>IF(A15="","",作業時間報告書!BJ15)</f>
        <v>0</v>
      </c>
      <c r="K15" s="51">
        <f>TIME(0,作業時間報告書!BC15,0)</f>
        <v>0</v>
      </c>
      <c r="L15" s="549">
        <f>IF(A15="","",作業時間報告書!BE15)</f>
        <v>0</v>
      </c>
      <c r="M15" s="552">
        <f>IF(A15="","",作業時間報告書!BH15)</f>
        <v>0</v>
      </c>
      <c r="N15" s="312"/>
      <c r="O15" s="55" t="str">
        <f>IF(A15="","",作業時間報告書!BS15)</f>
        <v>-37:30</v>
      </c>
      <c r="P15" s="708"/>
      <c r="Q15" s="708"/>
      <c r="R15" s="709"/>
      <c r="S15" s="710"/>
      <c r="T15" s="65"/>
      <c r="U15" s="45">
        <f t="shared" si="2"/>
        <v>0</v>
      </c>
      <c r="V15" s="62" t="b">
        <f t="shared" si="42"/>
        <v>0</v>
      </c>
      <c r="W15" s="62"/>
      <c r="X15" s="110">
        <f>作業時間報告書!A15</f>
        <v>43379</v>
      </c>
      <c r="Y15" s="111">
        <f t="shared" si="43"/>
        <v>0</v>
      </c>
      <c r="Z15" s="111">
        <f t="shared" si="3"/>
        <v>0</v>
      </c>
      <c r="AA15" s="111">
        <f t="shared" si="44"/>
        <v>0</v>
      </c>
      <c r="AB15" s="77">
        <f t="shared" si="4"/>
        <v>0</v>
      </c>
      <c r="AC15" s="112">
        <f t="shared" si="5"/>
        <v>0</v>
      </c>
      <c r="AD15" s="111">
        <f t="shared" si="6"/>
        <v>0</v>
      </c>
      <c r="AE15" s="77">
        <f t="shared" si="7"/>
        <v>0</v>
      </c>
      <c r="AF15" s="113">
        <f t="shared" si="8"/>
        <v>0</v>
      </c>
      <c r="AG15" s="77">
        <f t="shared" si="9"/>
        <v>0</v>
      </c>
      <c r="AH15" s="77">
        <f t="shared" si="45"/>
        <v>0</v>
      </c>
      <c r="AI15" s="112">
        <f t="shared" si="10"/>
        <v>0</v>
      </c>
      <c r="AJ15" s="77">
        <f t="shared" si="11"/>
        <v>0</v>
      </c>
      <c r="AK15" s="77">
        <f t="shared" si="12"/>
        <v>0</v>
      </c>
      <c r="AL15" s="112">
        <f t="shared" si="13"/>
        <v>0</v>
      </c>
      <c r="AM15" s="77">
        <f t="shared" si="14"/>
        <v>0</v>
      </c>
      <c r="AN15" s="77">
        <f t="shared" si="15"/>
        <v>0</v>
      </c>
      <c r="AO15" s="112">
        <f t="shared" si="16"/>
        <v>0</v>
      </c>
      <c r="AP15" s="77">
        <f t="shared" si="17"/>
        <v>0</v>
      </c>
      <c r="AQ15" s="77">
        <f t="shared" si="18"/>
        <v>0</v>
      </c>
      <c r="AR15" s="112">
        <f t="shared" si="19"/>
        <v>0</v>
      </c>
      <c r="AS15" s="77">
        <f t="shared" si="20"/>
        <v>0</v>
      </c>
      <c r="AT15" s="77">
        <f t="shared" si="21"/>
        <v>0</v>
      </c>
      <c r="AU15" s="112">
        <f t="shared" si="22"/>
        <v>0</v>
      </c>
      <c r="AV15" s="77">
        <f t="shared" si="23"/>
        <v>0</v>
      </c>
      <c r="AW15" s="77">
        <f t="shared" si="24"/>
        <v>0</v>
      </c>
      <c r="AX15" s="112">
        <f t="shared" si="25"/>
        <v>0</v>
      </c>
      <c r="AY15" s="114">
        <f>IF(作業時間報告書!G15=作業時間報告書!$AY$9,作業時間報告書!$X$4,0)</f>
        <v>0</v>
      </c>
      <c r="AZ15" s="115">
        <f>IF(ISNUMBER(作業時間報告書!I15),作業時間報告書!I15,0)*24*60</f>
        <v>0</v>
      </c>
      <c r="BA15" s="115">
        <f>作業時間報告書!H15*24*60</f>
        <v>0</v>
      </c>
      <c r="BB15" s="115">
        <f t="shared" si="26"/>
        <v>0</v>
      </c>
      <c r="BC15" s="116">
        <f t="shared" si="27"/>
        <v>0</v>
      </c>
      <c r="BD15" s="111">
        <f t="shared" si="46"/>
        <v>0</v>
      </c>
      <c r="BE15" s="117">
        <f t="shared" si="28"/>
        <v>0</v>
      </c>
      <c r="BF15" s="117">
        <f t="shared" si="29"/>
        <v>0</v>
      </c>
      <c r="BG15" s="118">
        <f>SUM(BD$10:BD15)</f>
        <v>0</v>
      </c>
      <c r="BH15" s="119">
        <f>SUM(BE$10:BE15)</f>
        <v>0</v>
      </c>
      <c r="BI15" s="120">
        <f>IF(作業時間報告書!U15=1,作業時間報告書!$X$4,0)</f>
        <v>0</v>
      </c>
      <c r="BJ15" s="117">
        <f t="shared" si="30"/>
        <v>0</v>
      </c>
      <c r="BK15" s="120">
        <f>SUM(BI$10:BI15)</f>
        <v>2250</v>
      </c>
      <c r="BL15" s="119">
        <f>SUM(BJ$10:BJ15)</f>
        <v>1.5625</v>
      </c>
      <c r="BM15" s="120">
        <f t="shared" si="31"/>
        <v>0</v>
      </c>
      <c r="BN15" s="121" t="str">
        <f t="shared" si="32"/>
        <v/>
      </c>
      <c r="BO15" s="119">
        <f t="shared" si="47"/>
        <v>0</v>
      </c>
      <c r="BP15" s="120">
        <f>SUM(BM$10:BM15)</f>
        <v>-2250</v>
      </c>
      <c r="BQ15" s="121" t="str">
        <f t="shared" si="33"/>
        <v>-</v>
      </c>
      <c r="BR15" s="122">
        <f t="shared" si="34"/>
        <v>2250</v>
      </c>
      <c r="BS15" s="299" t="str">
        <f>IF(SUM($BO$10:BO15)&lt;0,TEXT(ABS(SUM($BO$10:BO15)),"-[h]:mm"),SUM($BO$10:BO15))</f>
        <v>-37:30</v>
      </c>
      <c r="BT15" s="124"/>
      <c r="BU15" s="123">
        <f t="shared" si="48"/>
        <v>0</v>
      </c>
      <c r="BV15" s="123">
        <f t="shared" ref="BV15:BV40" si="51">IF(AND($AE$2&lt;&gt;0,$AF$2&lt;&gt;0),IF(AND($AA15&gt;$AE$3,$Z15&lt;$AF$3),IF(AND($Z15&lt;=$AE$3),IF($AA15&gt;=$AF$3,$AF$3-$AE$3,$AA15-$AE$3),IF($AA15&gt;=$AF$3,$AF$3-$Z15,$AA15-$Z15)),0),0)</f>
        <v>0</v>
      </c>
      <c r="BW15" s="123">
        <f t="shared" si="35"/>
        <v>0</v>
      </c>
      <c r="BX15" s="123">
        <f t="shared" si="36"/>
        <v>0</v>
      </c>
      <c r="BY15" s="123">
        <f t="shared" si="37"/>
        <v>0</v>
      </c>
      <c r="BZ15" s="123">
        <f t="shared" si="38"/>
        <v>0</v>
      </c>
      <c r="CA15" s="123">
        <f t="shared" si="39"/>
        <v>0</v>
      </c>
      <c r="CB15" s="123">
        <f t="shared" si="40"/>
        <v>0</v>
      </c>
      <c r="CC15" s="123">
        <f t="shared" si="49"/>
        <v>0</v>
      </c>
      <c r="CD15" s="74"/>
      <c r="CE15" s="123">
        <f t="shared" si="41"/>
        <v>0</v>
      </c>
      <c r="CH15" s="295" t="s">
        <v>269</v>
      </c>
      <c r="CI15" s="15">
        <v>6</v>
      </c>
      <c r="CJ15" s="15" t="s">
        <v>269</v>
      </c>
      <c r="CK15" s="518" t="s">
        <v>544</v>
      </c>
      <c r="CL15" s="17">
        <v>0.31944444444444448</v>
      </c>
      <c r="CM15" s="17">
        <v>0.29166666666666669</v>
      </c>
      <c r="CN15" s="17">
        <v>0.35416666666666669</v>
      </c>
      <c r="CO15" s="17">
        <v>0.70833333333333337</v>
      </c>
      <c r="CP15" s="17">
        <v>1.0416666666666666E-2</v>
      </c>
      <c r="CQ15" s="17">
        <v>1.0416666666666666E-2</v>
      </c>
      <c r="CR15" s="17">
        <v>2.0833333333333332E-2</v>
      </c>
      <c r="CS15" s="17">
        <v>0.51041666666666663</v>
      </c>
      <c r="CT15" s="17">
        <v>0.54166666666666663</v>
      </c>
      <c r="CU15" s="17">
        <v>0.70833333333333337</v>
      </c>
      <c r="CV15" s="17">
        <v>0.71875</v>
      </c>
      <c r="CW15" s="17"/>
      <c r="CX15" s="17"/>
      <c r="CY15" s="17"/>
      <c r="CZ15" s="17"/>
      <c r="DA15" s="17"/>
      <c r="DB15" s="17"/>
      <c r="DC15" s="17"/>
      <c r="DD15" s="17"/>
      <c r="DE15" s="17"/>
      <c r="DF15" s="17"/>
    </row>
    <row r="16" spans="1:111" ht="18" customHeight="1">
      <c r="A16" s="488">
        <f t="shared" si="50"/>
        <v>43380</v>
      </c>
      <c r="B16" s="317">
        <f t="shared" si="1"/>
        <v>1</v>
      </c>
      <c r="C16" s="66"/>
      <c r="D16" s="542"/>
      <c r="E16" s="301" t="s">
        <v>545</v>
      </c>
      <c r="F16" s="545"/>
      <c r="G16" s="456"/>
      <c r="H16" s="559"/>
      <c r="I16" s="556"/>
      <c r="J16" s="314">
        <f>IF(A16="","",作業時間報告書!BJ16)</f>
        <v>0</v>
      </c>
      <c r="K16" s="51">
        <f>TIME(0,作業時間報告書!BC16,0)</f>
        <v>0</v>
      </c>
      <c r="L16" s="549">
        <f>IF(A16="","",作業時間報告書!BE16)</f>
        <v>0</v>
      </c>
      <c r="M16" s="552">
        <f>IF(A16="","",作業時間報告書!BH16)</f>
        <v>0</v>
      </c>
      <c r="N16" s="312"/>
      <c r="O16" s="55" t="str">
        <f>IF(A16="","",作業時間報告書!BS16)</f>
        <v>-37:30</v>
      </c>
      <c r="P16" s="708"/>
      <c r="Q16" s="708"/>
      <c r="R16" s="709"/>
      <c r="S16" s="710"/>
      <c r="T16" s="65"/>
      <c r="U16" s="45">
        <f t="shared" si="2"/>
        <v>0</v>
      </c>
      <c r="V16" s="62" t="b">
        <f t="shared" si="42"/>
        <v>0</v>
      </c>
      <c r="W16" s="62"/>
      <c r="X16" s="110">
        <f>作業時間報告書!A16</f>
        <v>43380</v>
      </c>
      <c r="Y16" s="111">
        <f t="shared" si="43"/>
        <v>0</v>
      </c>
      <c r="Z16" s="111">
        <f t="shared" si="3"/>
        <v>0</v>
      </c>
      <c r="AA16" s="111">
        <f t="shared" si="44"/>
        <v>0</v>
      </c>
      <c r="AB16" s="77">
        <f t="shared" si="4"/>
        <v>0</v>
      </c>
      <c r="AC16" s="112">
        <f t="shared" si="5"/>
        <v>0</v>
      </c>
      <c r="AD16" s="111">
        <f t="shared" si="6"/>
        <v>0</v>
      </c>
      <c r="AE16" s="77">
        <f t="shared" si="7"/>
        <v>0</v>
      </c>
      <c r="AF16" s="113">
        <f t="shared" si="8"/>
        <v>0</v>
      </c>
      <c r="AG16" s="77">
        <f t="shared" si="9"/>
        <v>0</v>
      </c>
      <c r="AH16" s="77">
        <f t="shared" si="45"/>
        <v>0</v>
      </c>
      <c r="AI16" s="112">
        <f t="shared" si="10"/>
        <v>0</v>
      </c>
      <c r="AJ16" s="77">
        <f t="shared" si="11"/>
        <v>0</v>
      </c>
      <c r="AK16" s="77">
        <f t="shared" si="12"/>
        <v>0</v>
      </c>
      <c r="AL16" s="112">
        <f t="shared" si="13"/>
        <v>0</v>
      </c>
      <c r="AM16" s="77">
        <f t="shared" si="14"/>
        <v>0</v>
      </c>
      <c r="AN16" s="77">
        <f t="shared" si="15"/>
        <v>0</v>
      </c>
      <c r="AO16" s="112">
        <f t="shared" si="16"/>
        <v>0</v>
      </c>
      <c r="AP16" s="77">
        <f t="shared" si="17"/>
        <v>0</v>
      </c>
      <c r="AQ16" s="77">
        <f t="shared" si="18"/>
        <v>0</v>
      </c>
      <c r="AR16" s="112">
        <f t="shared" si="19"/>
        <v>0</v>
      </c>
      <c r="AS16" s="77">
        <f t="shared" si="20"/>
        <v>0</v>
      </c>
      <c r="AT16" s="77">
        <f t="shared" si="21"/>
        <v>0</v>
      </c>
      <c r="AU16" s="112">
        <f t="shared" si="22"/>
        <v>0</v>
      </c>
      <c r="AV16" s="77">
        <f t="shared" si="23"/>
        <v>0</v>
      </c>
      <c r="AW16" s="77">
        <f t="shared" si="24"/>
        <v>0</v>
      </c>
      <c r="AX16" s="112">
        <f t="shared" si="25"/>
        <v>0</v>
      </c>
      <c r="AY16" s="114">
        <f>IF(作業時間報告書!G16=作業時間報告書!$AY$9,作業時間報告書!$X$4,0)</f>
        <v>0</v>
      </c>
      <c r="AZ16" s="115">
        <f>IF(ISNUMBER(作業時間報告書!I16),作業時間報告書!I16,0)*24*60</f>
        <v>0</v>
      </c>
      <c r="BA16" s="115">
        <f>作業時間報告書!H16*24*60</f>
        <v>0</v>
      </c>
      <c r="BB16" s="115">
        <f t="shared" si="26"/>
        <v>0</v>
      </c>
      <c r="BC16" s="116">
        <f t="shared" si="27"/>
        <v>0</v>
      </c>
      <c r="BD16" s="111">
        <f t="shared" si="46"/>
        <v>0</v>
      </c>
      <c r="BE16" s="117">
        <f t="shared" si="28"/>
        <v>0</v>
      </c>
      <c r="BF16" s="117">
        <f t="shared" si="29"/>
        <v>0</v>
      </c>
      <c r="BG16" s="118">
        <f>SUM(BD$10:BD16)</f>
        <v>0</v>
      </c>
      <c r="BH16" s="119">
        <f>SUM(BE$10:BE16)</f>
        <v>0</v>
      </c>
      <c r="BI16" s="120">
        <f>IF(作業時間報告書!U16=1,作業時間報告書!$X$4,0)</f>
        <v>0</v>
      </c>
      <c r="BJ16" s="117">
        <f t="shared" si="30"/>
        <v>0</v>
      </c>
      <c r="BK16" s="120">
        <f>SUM(BI$10:BI16)</f>
        <v>2250</v>
      </c>
      <c r="BL16" s="119">
        <f>SUM(BJ$10:BJ16)</f>
        <v>1.5625</v>
      </c>
      <c r="BM16" s="120">
        <f t="shared" si="31"/>
        <v>0</v>
      </c>
      <c r="BN16" s="121" t="str">
        <f t="shared" si="32"/>
        <v/>
      </c>
      <c r="BO16" s="119">
        <f t="shared" si="47"/>
        <v>0</v>
      </c>
      <c r="BP16" s="120">
        <f>SUM(BM$10:BM16)</f>
        <v>-2250</v>
      </c>
      <c r="BQ16" s="121" t="str">
        <f t="shared" si="33"/>
        <v>-</v>
      </c>
      <c r="BR16" s="122">
        <f t="shared" si="34"/>
        <v>2250</v>
      </c>
      <c r="BS16" s="299" t="str">
        <f>IF(SUM($BO$10:BO16)&lt;0,TEXT(ABS(SUM($BO$10:BO16)),"-[h]:mm"),SUM($BO$10:BO16))</f>
        <v>-37:30</v>
      </c>
      <c r="BT16" s="124"/>
      <c r="BU16" s="123">
        <f t="shared" si="48"/>
        <v>0</v>
      </c>
      <c r="BV16" s="123">
        <f t="shared" si="51"/>
        <v>0</v>
      </c>
      <c r="BW16" s="123">
        <f t="shared" si="35"/>
        <v>0</v>
      </c>
      <c r="BX16" s="123">
        <f t="shared" si="36"/>
        <v>0</v>
      </c>
      <c r="BY16" s="123">
        <f t="shared" si="37"/>
        <v>0</v>
      </c>
      <c r="BZ16" s="123">
        <f t="shared" si="38"/>
        <v>0</v>
      </c>
      <c r="CA16" s="123">
        <f t="shared" si="39"/>
        <v>0</v>
      </c>
      <c r="CB16" s="123">
        <f t="shared" si="40"/>
        <v>0</v>
      </c>
      <c r="CC16" s="123">
        <f t="shared" si="49"/>
        <v>0</v>
      </c>
      <c r="CD16" s="74"/>
      <c r="CE16" s="123">
        <f t="shared" si="41"/>
        <v>0</v>
      </c>
      <c r="CH16" s="295" t="s">
        <v>270</v>
      </c>
      <c r="CI16" s="12">
        <v>7</v>
      </c>
      <c r="CJ16" s="12"/>
      <c r="CK16" s="18"/>
      <c r="CL16" s="14"/>
      <c r="CM16" s="14"/>
      <c r="CN16" s="14"/>
      <c r="CO16" s="14"/>
      <c r="CP16" s="14"/>
      <c r="CQ16" s="14"/>
      <c r="CR16" s="14"/>
      <c r="CS16" s="14"/>
      <c r="CT16" s="14"/>
      <c r="CU16" s="14"/>
      <c r="CV16" s="14"/>
      <c r="CW16" s="14"/>
      <c r="CX16" s="14"/>
      <c r="CY16" s="14"/>
      <c r="CZ16" s="14"/>
      <c r="DA16" s="14"/>
      <c r="DB16" s="14"/>
      <c r="DC16" s="14"/>
      <c r="DD16" s="14"/>
      <c r="DE16" s="14"/>
      <c r="DF16" s="14"/>
    </row>
    <row r="17" spans="1:110" ht="18" customHeight="1">
      <c r="A17" s="488">
        <f t="shared" si="50"/>
        <v>43381</v>
      </c>
      <c r="B17" s="317">
        <f t="shared" si="1"/>
        <v>2</v>
      </c>
      <c r="C17" s="66"/>
      <c r="D17" s="542"/>
      <c r="E17" s="301" t="s">
        <v>542</v>
      </c>
      <c r="F17" s="545"/>
      <c r="G17" s="456"/>
      <c r="H17" s="559"/>
      <c r="I17" s="556"/>
      <c r="J17" s="314">
        <f>IF(A17="","",作業時間報告書!BJ17)</f>
        <v>0.3125</v>
      </c>
      <c r="K17" s="51">
        <f>TIME(0,作業時間報告書!BC17,0)</f>
        <v>0</v>
      </c>
      <c r="L17" s="549">
        <f>IF(A17="","",作業時間報告書!BE17)</f>
        <v>0</v>
      </c>
      <c r="M17" s="552">
        <f>IF(A17="","",作業時間報告書!BH17)</f>
        <v>0</v>
      </c>
      <c r="N17" s="312"/>
      <c r="O17" s="55" t="str">
        <f>IF(A17="","",作業時間報告書!BS17)</f>
        <v>-45:00</v>
      </c>
      <c r="P17" s="708"/>
      <c r="Q17" s="708"/>
      <c r="R17" s="709"/>
      <c r="S17" s="710"/>
      <c r="T17" s="65"/>
      <c r="U17" s="45">
        <f t="shared" si="2"/>
        <v>1</v>
      </c>
      <c r="V17" s="62" t="b">
        <f t="shared" si="42"/>
        <v>0</v>
      </c>
      <c r="W17" s="62"/>
      <c r="X17" s="110">
        <f>作業時間報告書!A17</f>
        <v>43381</v>
      </c>
      <c r="Y17" s="111">
        <f t="shared" si="43"/>
        <v>0</v>
      </c>
      <c r="Z17" s="111">
        <f t="shared" si="3"/>
        <v>0</v>
      </c>
      <c r="AA17" s="111">
        <f t="shared" si="44"/>
        <v>0</v>
      </c>
      <c r="AB17" s="77">
        <f t="shared" si="4"/>
        <v>0</v>
      </c>
      <c r="AC17" s="112">
        <f t="shared" si="5"/>
        <v>0</v>
      </c>
      <c r="AD17" s="111">
        <f t="shared" si="6"/>
        <v>0</v>
      </c>
      <c r="AE17" s="77">
        <f t="shared" si="7"/>
        <v>0</v>
      </c>
      <c r="AF17" s="113">
        <f t="shared" si="8"/>
        <v>0</v>
      </c>
      <c r="AG17" s="77">
        <f t="shared" si="9"/>
        <v>0</v>
      </c>
      <c r="AH17" s="77">
        <f t="shared" si="45"/>
        <v>0</v>
      </c>
      <c r="AI17" s="112">
        <f t="shared" si="10"/>
        <v>0</v>
      </c>
      <c r="AJ17" s="77">
        <f t="shared" si="11"/>
        <v>0</v>
      </c>
      <c r="AK17" s="77">
        <f t="shared" si="12"/>
        <v>0</v>
      </c>
      <c r="AL17" s="112">
        <f t="shared" si="13"/>
        <v>0</v>
      </c>
      <c r="AM17" s="77">
        <f t="shared" si="14"/>
        <v>0</v>
      </c>
      <c r="AN17" s="77">
        <f t="shared" si="15"/>
        <v>0</v>
      </c>
      <c r="AO17" s="112">
        <f t="shared" si="16"/>
        <v>0</v>
      </c>
      <c r="AP17" s="77">
        <f t="shared" si="17"/>
        <v>0</v>
      </c>
      <c r="AQ17" s="77">
        <f t="shared" si="18"/>
        <v>0</v>
      </c>
      <c r="AR17" s="112">
        <f t="shared" si="19"/>
        <v>0</v>
      </c>
      <c r="AS17" s="77">
        <f t="shared" si="20"/>
        <v>0</v>
      </c>
      <c r="AT17" s="77">
        <f t="shared" si="21"/>
        <v>0</v>
      </c>
      <c r="AU17" s="112">
        <f t="shared" si="22"/>
        <v>0</v>
      </c>
      <c r="AV17" s="77">
        <f t="shared" si="23"/>
        <v>0</v>
      </c>
      <c r="AW17" s="77">
        <f t="shared" si="24"/>
        <v>0</v>
      </c>
      <c r="AX17" s="112">
        <f t="shared" si="25"/>
        <v>0</v>
      </c>
      <c r="AY17" s="114">
        <f>IF(作業時間報告書!G17=作業時間報告書!$AY$9,作業時間報告書!$X$4,0)</f>
        <v>0</v>
      </c>
      <c r="AZ17" s="115">
        <f>IF(ISNUMBER(作業時間報告書!I17),作業時間報告書!I17,0)*24*60</f>
        <v>0</v>
      </c>
      <c r="BA17" s="115">
        <f>作業時間報告書!H17*24*60</f>
        <v>0</v>
      </c>
      <c r="BB17" s="115">
        <f t="shared" si="26"/>
        <v>0</v>
      </c>
      <c r="BC17" s="116">
        <f t="shared" si="27"/>
        <v>0</v>
      </c>
      <c r="BD17" s="111">
        <f t="shared" si="46"/>
        <v>0</v>
      </c>
      <c r="BE17" s="117">
        <f t="shared" si="28"/>
        <v>0</v>
      </c>
      <c r="BF17" s="117">
        <f t="shared" si="29"/>
        <v>0</v>
      </c>
      <c r="BG17" s="118">
        <f>SUM(BD$10:BD17)</f>
        <v>0</v>
      </c>
      <c r="BH17" s="119">
        <f>SUM(BE$10:BE17)</f>
        <v>0</v>
      </c>
      <c r="BI17" s="120">
        <f>IF(作業時間報告書!U17=1,作業時間報告書!$X$4,0)</f>
        <v>450</v>
      </c>
      <c r="BJ17" s="117">
        <f t="shared" si="30"/>
        <v>0.3125</v>
      </c>
      <c r="BK17" s="120">
        <f>SUM(BI$10:BI17)</f>
        <v>2700</v>
      </c>
      <c r="BL17" s="119">
        <f>SUM(BJ$10:BJ17)</f>
        <v>1.875</v>
      </c>
      <c r="BM17" s="120">
        <f t="shared" si="31"/>
        <v>-450</v>
      </c>
      <c r="BN17" s="121" t="str">
        <f t="shared" si="32"/>
        <v>-</v>
      </c>
      <c r="BO17" s="119">
        <f t="shared" si="47"/>
        <v>-0.3125</v>
      </c>
      <c r="BP17" s="120">
        <f>SUM(BM$10:BM17)</f>
        <v>-2700</v>
      </c>
      <c r="BQ17" s="121" t="str">
        <f t="shared" si="33"/>
        <v>-</v>
      </c>
      <c r="BR17" s="122">
        <f t="shared" si="34"/>
        <v>2700</v>
      </c>
      <c r="BS17" s="299" t="str">
        <f>IF(SUM($BO$10:BO17)&lt;0,TEXT(ABS(SUM($BO$10:BO17)),"-[h]:mm"),SUM($BO$10:BO17))</f>
        <v>-45:00</v>
      </c>
      <c r="BT17" s="124"/>
      <c r="BU17" s="123">
        <f t="shared" si="48"/>
        <v>0</v>
      </c>
      <c r="BV17" s="123">
        <f t="shared" si="51"/>
        <v>0</v>
      </c>
      <c r="BW17" s="123">
        <f t="shared" si="35"/>
        <v>0</v>
      </c>
      <c r="BX17" s="123">
        <f t="shared" si="36"/>
        <v>0</v>
      </c>
      <c r="BY17" s="123">
        <f t="shared" si="37"/>
        <v>0</v>
      </c>
      <c r="BZ17" s="123">
        <f t="shared" si="38"/>
        <v>0</v>
      </c>
      <c r="CA17" s="123">
        <f t="shared" si="39"/>
        <v>0</v>
      </c>
      <c r="CB17" s="123">
        <f t="shared" si="40"/>
        <v>0</v>
      </c>
      <c r="CC17" s="123">
        <f t="shared" si="49"/>
        <v>0</v>
      </c>
      <c r="CD17" s="74"/>
      <c r="CE17" s="123">
        <f t="shared" si="41"/>
        <v>0</v>
      </c>
      <c r="CH17" s="295" t="s">
        <v>271</v>
      </c>
      <c r="CI17" s="15">
        <v>8</v>
      </c>
      <c r="CJ17" s="15"/>
      <c r="CK17" s="19"/>
      <c r="CL17" s="17"/>
      <c r="CM17" s="17"/>
      <c r="CN17" s="17"/>
      <c r="CO17" s="17"/>
      <c r="CP17" s="17"/>
      <c r="CQ17" s="17"/>
      <c r="CR17" s="17"/>
      <c r="CS17" s="17"/>
      <c r="CT17" s="17"/>
      <c r="CU17" s="17"/>
      <c r="CV17" s="17"/>
      <c r="CW17" s="17"/>
      <c r="CX17" s="17"/>
      <c r="CY17" s="17"/>
      <c r="CZ17" s="17"/>
      <c r="DA17" s="17"/>
      <c r="DB17" s="17"/>
      <c r="DC17" s="17"/>
      <c r="DD17" s="17"/>
      <c r="DE17" s="17"/>
      <c r="DF17" s="17"/>
    </row>
    <row r="18" spans="1:110" ht="18" customHeight="1">
      <c r="A18" s="488">
        <f t="shared" si="50"/>
        <v>43382</v>
      </c>
      <c r="B18" s="317">
        <f t="shared" si="1"/>
        <v>3</v>
      </c>
      <c r="C18" s="66"/>
      <c r="D18" s="542"/>
      <c r="E18" s="301" t="s">
        <v>542</v>
      </c>
      <c r="F18" s="545"/>
      <c r="G18" s="456"/>
      <c r="H18" s="559"/>
      <c r="I18" s="556"/>
      <c r="J18" s="314">
        <f>IF(A18="","",作業時間報告書!BJ18)</f>
        <v>0.3125</v>
      </c>
      <c r="K18" s="51">
        <f>TIME(0,作業時間報告書!BC18,0)</f>
        <v>0</v>
      </c>
      <c r="L18" s="549">
        <f>IF(A18="","",作業時間報告書!BE18)</f>
        <v>0</v>
      </c>
      <c r="M18" s="552">
        <f>IF(A18="","",作業時間報告書!BH18)</f>
        <v>0</v>
      </c>
      <c r="N18" s="312"/>
      <c r="O18" s="55" t="str">
        <f>IF(A18="","",作業時間報告書!BS18)</f>
        <v>-52:30</v>
      </c>
      <c r="P18" s="708"/>
      <c r="Q18" s="708"/>
      <c r="R18" s="709"/>
      <c r="S18" s="710"/>
      <c r="T18" s="65"/>
      <c r="U18" s="45">
        <f t="shared" si="2"/>
        <v>1</v>
      </c>
      <c r="V18" s="62" t="b">
        <f t="shared" si="42"/>
        <v>0</v>
      </c>
      <c r="W18" s="62"/>
      <c r="X18" s="110">
        <f>作業時間報告書!A18</f>
        <v>43382</v>
      </c>
      <c r="Y18" s="111">
        <f t="shared" si="43"/>
        <v>0</v>
      </c>
      <c r="Z18" s="111">
        <f t="shared" si="3"/>
        <v>0</v>
      </c>
      <c r="AA18" s="111">
        <f t="shared" si="44"/>
        <v>0</v>
      </c>
      <c r="AB18" s="77">
        <f t="shared" si="4"/>
        <v>0</v>
      </c>
      <c r="AC18" s="112">
        <f t="shared" si="5"/>
        <v>0</v>
      </c>
      <c r="AD18" s="111">
        <f t="shared" si="6"/>
        <v>0</v>
      </c>
      <c r="AE18" s="77">
        <f t="shared" si="7"/>
        <v>0</v>
      </c>
      <c r="AF18" s="113">
        <f t="shared" si="8"/>
        <v>0</v>
      </c>
      <c r="AG18" s="77">
        <f t="shared" si="9"/>
        <v>0</v>
      </c>
      <c r="AH18" s="77">
        <f t="shared" si="45"/>
        <v>0</v>
      </c>
      <c r="AI18" s="112">
        <f t="shared" si="10"/>
        <v>0</v>
      </c>
      <c r="AJ18" s="77">
        <f t="shared" si="11"/>
        <v>0</v>
      </c>
      <c r="AK18" s="77">
        <f t="shared" si="12"/>
        <v>0</v>
      </c>
      <c r="AL18" s="112">
        <f t="shared" si="13"/>
        <v>0</v>
      </c>
      <c r="AM18" s="77">
        <f t="shared" si="14"/>
        <v>0</v>
      </c>
      <c r="AN18" s="77">
        <f t="shared" si="15"/>
        <v>0</v>
      </c>
      <c r="AO18" s="112">
        <f t="shared" si="16"/>
        <v>0</v>
      </c>
      <c r="AP18" s="77">
        <f t="shared" si="17"/>
        <v>0</v>
      </c>
      <c r="AQ18" s="77">
        <f t="shared" si="18"/>
        <v>0</v>
      </c>
      <c r="AR18" s="112">
        <f t="shared" si="19"/>
        <v>0</v>
      </c>
      <c r="AS18" s="77">
        <f t="shared" si="20"/>
        <v>0</v>
      </c>
      <c r="AT18" s="77">
        <f t="shared" si="21"/>
        <v>0</v>
      </c>
      <c r="AU18" s="112">
        <f t="shared" si="22"/>
        <v>0</v>
      </c>
      <c r="AV18" s="77">
        <f t="shared" si="23"/>
        <v>0</v>
      </c>
      <c r="AW18" s="77">
        <f t="shared" si="24"/>
        <v>0</v>
      </c>
      <c r="AX18" s="112">
        <f t="shared" si="25"/>
        <v>0</v>
      </c>
      <c r="AY18" s="114">
        <f>IF(作業時間報告書!G18=作業時間報告書!$AY$9,作業時間報告書!$X$4,0)</f>
        <v>0</v>
      </c>
      <c r="AZ18" s="115">
        <f>IF(ISNUMBER(作業時間報告書!I18),作業時間報告書!I18,0)*24*60</f>
        <v>0</v>
      </c>
      <c r="BA18" s="115">
        <f>作業時間報告書!H18*24*60</f>
        <v>0</v>
      </c>
      <c r="BB18" s="115">
        <f t="shared" si="26"/>
        <v>0</v>
      </c>
      <c r="BC18" s="116">
        <f t="shared" si="27"/>
        <v>0</v>
      </c>
      <c r="BD18" s="111">
        <f t="shared" si="46"/>
        <v>0</v>
      </c>
      <c r="BE18" s="117">
        <f t="shared" si="28"/>
        <v>0</v>
      </c>
      <c r="BF18" s="117">
        <f t="shared" si="29"/>
        <v>0</v>
      </c>
      <c r="BG18" s="118">
        <f>SUM(BD$10:BD18)</f>
        <v>0</v>
      </c>
      <c r="BH18" s="119">
        <f>SUM(BE$10:BE18)</f>
        <v>0</v>
      </c>
      <c r="BI18" s="120">
        <f>IF(作業時間報告書!U18=1,作業時間報告書!$X$4,0)</f>
        <v>450</v>
      </c>
      <c r="BJ18" s="117">
        <f t="shared" si="30"/>
        <v>0.3125</v>
      </c>
      <c r="BK18" s="120">
        <f>SUM(BI$10:BI18)</f>
        <v>3150</v>
      </c>
      <c r="BL18" s="119">
        <f>SUM(BJ$10:BJ18)</f>
        <v>2.1875</v>
      </c>
      <c r="BM18" s="120">
        <f t="shared" si="31"/>
        <v>-450</v>
      </c>
      <c r="BN18" s="121" t="str">
        <f t="shared" si="32"/>
        <v>-</v>
      </c>
      <c r="BO18" s="119">
        <f t="shared" si="47"/>
        <v>-0.3125</v>
      </c>
      <c r="BP18" s="120">
        <f>SUM(BM$10:BM18)</f>
        <v>-3150</v>
      </c>
      <c r="BQ18" s="121" t="str">
        <f t="shared" si="33"/>
        <v>-</v>
      </c>
      <c r="BR18" s="122">
        <f t="shared" si="34"/>
        <v>3150</v>
      </c>
      <c r="BS18" s="299" t="str">
        <f>IF(SUM($BO$10:BO18)&lt;0,TEXT(ABS(SUM($BO$10:BO18)),"-[h]:mm"),SUM($BO$10:BO18))</f>
        <v>-52:30</v>
      </c>
      <c r="BT18" s="124"/>
      <c r="BU18" s="123">
        <f t="shared" si="48"/>
        <v>0</v>
      </c>
      <c r="BV18" s="123">
        <f t="shared" si="51"/>
        <v>0</v>
      </c>
      <c r="BW18" s="123">
        <f t="shared" si="35"/>
        <v>0</v>
      </c>
      <c r="BX18" s="123">
        <f t="shared" si="36"/>
        <v>0</v>
      </c>
      <c r="BY18" s="123">
        <f t="shared" si="37"/>
        <v>0</v>
      </c>
      <c r="BZ18" s="123">
        <f t="shared" si="38"/>
        <v>0</v>
      </c>
      <c r="CA18" s="123">
        <f t="shared" si="39"/>
        <v>0</v>
      </c>
      <c r="CB18" s="123">
        <f t="shared" si="40"/>
        <v>0</v>
      </c>
      <c r="CC18" s="123">
        <f t="shared" si="49"/>
        <v>0</v>
      </c>
      <c r="CD18" s="74"/>
      <c r="CE18" s="123">
        <f t="shared" si="41"/>
        <v>0</v>
      </c>
      <c r="CH18" s="295" t="s">
        <v>272</v>
      </c>
      <c r="CI18" s="12">
        <v>9</v>
      </c>
      <c r="CJ18" s="12"/>
      <c r="CK18" s="13"/>
      <c r="CL18" s="14"/>
      <c r="CM18" s="14"/>
      <c r="CN18" s="14"/>
      <c r="CO18" s="14"/>
      <c r="CP18" s="14"/>
      <c r="CQ18" s="14"/>
      <c r="CR18" s="14"/>
      <c r="CS18" s="14"/>
      <c r="CT18" s="14"/>
      <c r="CU18" s="14"/>
      <c r="CV18" s="14"/>
      <c r="CW18" s="14"/>
      <c r="CX18" s="14"/>
      <c r="CY18" s="14"/>
      <c r="CZ18" s="14"/>
      <c r="DA18" s="14"/>
      <c r="DB18" s="14"/>
      <c r="DC18" s="14"/>
      <c r="DD18" s="14"/>
      <c r="DE18" s="14"/>
      <c r="DF18" s="14"/>
    </row>
    <row r="19" spans="1:110" ht="18" customHeight="1">
      <c r="A19" s="488">
        <f t="shared" si="50"/>
        <v>43383</v>
      </c>
      <c r="B19" s="317">
        <f t="shared" si="1"/>
        <v>4</v>
      </c>
      <c r="C19" s="66"/>
      <c r="D19" s="542"/>
      <c r="E19" s="301" t="s">
        <v>546</v>
      </c>
      <c r="F19" s="545"/>
      <c r="G19" s="456"/>
      <c r="H19" s="559"/>
      <c r="I19" s="556"/>
      <c r="J19" s="314">
        <f>IF(A19="","",作業時間報告書!BJ19)</f>
        <v>0.3125</v>
      </c>
      <c r="K19" s="51">
        <f>TIME(0,作業時間報告書!BC19,0)</f>
        <v>0</v>
      </c>
      <c r="L19" s="549">
        <f>IF(A19="","",作業時間報告書!BE19)</f>
        <v>0</v>
      </c>
      <c r="M19" s="552">
        <f>IF(A19="","",作業時間報告書!BH19)</f>
        <v>0</v>
      </c>
      <c r="N19" s="312"/>
      <c r="O19" s="55" t="str">
        <f>IF(A19="","",作業時間報告書!BS19)</f>
        <v>-60:00</v>
      </c>
      <c r="P19" s="708"/>
      <c r="Q19" s="708"/>
      <c r="R19" s="709"/>
      <c r="S19" s="710"/>
      <c r="T19" s="65"/>
      <c r="U19" s="45">
        <f t="shared" si="2"/>
        <v>1</v>
      </c>
      <c r="V19" s="62" t="b">
        <f t="shared" si="42"/>
        <v>0</v>
      </c>
      <c r="W19" s="62"/>
      <c r="X19" s="110">
        <f>作業時間報告書!A19</f>
        <v>43383</v>
      </c>
      <c r="Y19" s="111">
        <f t="shared" si="43"/>
        <v>0</v>
      </c>
      <c r="Z19" s="111">
        <f t="shared" si="3"/>
        <v>0</v>
      </c>
      <c r="AA19" s="111">
        <f t="shared" si="44"/>
        <v>0</v>
      </c>
      <c r="AB19" s="77">
        <f t="shared" si="4"/>
        <v>0</v>
      </c>
      <c r="AC19" s="112">
        <f t="shared" si="5"/>
        <v>0</v>
      </c>
      <c r="AD19" s="111">
        <f t="shared" si="6"/>
        <v>0</v>
      </c>
      <c r="AE19" s="77">
        <f t="shared" si="7"/>
        <v>0</v>
      </c>
      <c r="AF19" s="113">
        <f t="shared" si="8"/>
        <v>0</v>
      </c>
      <c r="AG19" s="77">
        <f t="shared" si="9"/>
        <v>0</v>
      </c>
      <c r="AH19" s="77">
        <f t="shared" si="45"/>
        <v>0</v>
      </c>
      <c r="AI19" s="112">
        <f t="shared" si="10"/>
        <v>0</v>
      </c>
      <c r="AJ19" s="77">
        <f t="shared" si="11"/>
        <v>0</v>
      </c>
      <c r="AK19" s="77">
        <f t="shared" si="12"/>
        <v>0</v>
      </c>
      <c r="AL19" s="112">
        <f t="shared" si="13"/>
        <v>0</v>
      </c>
      <c r="AM19" s="77">
        <f t="shared" si="14"/>
        <v>0</v>
      </c>
      <c r="AN19" s="77">
        <f t="shared" si="15"/>
        <v>0</v>
      </c>
      <c r="AO19" s="112">
        <f t="shared" si="16"/>
        <v>0</v>
      </c>
      <c r="AP19" s="77">
        <f t="shared" si="17"/>
        <v>0</v>
      </c>
      <c r="AQ19" s="77">
        <f t="shared" si="18"/>
        <v>0</v>
      </c>
      <c r="AR19" s="112">
        <f t="shared" si="19"/>
        <v>0</v>
      </c>
      <c r="AS19" s="77">
        <f t="shared" si="20"/>
        <v>0</v>
      </c>
      <c r="AT19" s="77">
        <f t="shared" si="21"/>
        <v>0</v>
      </c>
      <c r="AU19" s="112">
        <f t="shared" si="22"/>
        <v>0</v>
      </c>
      <c r="AV19" s="77">
        <f t="shared" si="23"/>
        <v>0</v>
      </c>
      <c r="AW19" s="77">
        <f t="shared" si="24"/>
        <v>0</v>
      </c>
      <c r="AX19" s="112">
        <f t="shared" si="25"/>
        <v>0</v>
      </c>
      <c r="AY19" s="114">
        <f>IF(作業時間報告書!G19=作業時間報告書!$AY$9,作業時間報告書!$X$4,0)</f>
        <v>0</v>
      </c>
      <c r="AZ19" s="115">
        <f>IF(ISNUMBER(作業時間報告書!I19),作業時間報告書!I19,0)*24*60</f>
        <v>0</v>
      </c>
      <c r="BA19" s="115">
        <f>作業時間報告書!H19*24*60</f>
        <v>0</v>
      </c>
      <c r="BB19" s="115">
        <f t="shared" si="26"/>
        <v>0</v>
      </c>
      <c r="BC19" s="116">
        <f t="shared" si="27"/>
        <v>0</v>
      </c>
      <c r="BD19" s="111">
        <f t="shared" si="46"/>
        <v>0</v>
      </c>
      <c r="BE19" s="117">
        <f t="shared" si="28"/>
        <v>0</v>
      </c>
      <c r="BF19" s="117">
        <f t="shared" si="29"/>
        <v>0</v>
      </c>
      <c r="BG19" s="118">
        <f>SUM(BD$10:BD19)</f>
        <v>0</v>
      </c>
      <c r="BH19" s="119">
        <f>SUM(BE$10:BE19)</f>
        <v>0</v>
      </c>
      <c r="BI19" s="120">
        <f>IF(作業時間報告書!U19=1,作業時間報告書!$X$4,0)</f>
        <v>450</v>
      </c>
      <c r="BJ19" s="117">
        <f t="shared" si="30"/>
        <v>0.3125</v>
      </c>
      <c r="BK19" s="120">
        <f>SUM(BI$10:BI19)</f>
        <v>3600</v>
      </c>
      <c r="BL19" s="119">
        <f>SUM(BJ$10:BJ19)</f>
        <v>2.5</v>
      </c>
      <c r="BM19" s="120">
        <f t="shared" si="31"/>
        <v>-450</v>
      </c>
      <c r="BN19" s="121" t="str">
        <f t="shared" si="32"/>
        <v>-</v>
      </c>
      <c r="BO19" s="119">
        <f t="shared" si="47"/>
        <v>-0.3125</v>
      </c>
      <c r="BP19" s="120">
        <f>SUM(BM$10:BM19)</f>
        <v>-3600</v>
      </c>
      <c r="BQ19" s="121" t="str">
        <f t="shared" si="33"/>
        <v>-</v>
      </c>
      <c r="BR19" s="122">
        <f t="shared" si="34"/>
        <v>3600</v>
      </c>
      <c r="BS19" s="299" t="str">
        <f>IF(SUM($BO$10:BO19)&lt;0,TEXT(ABS(SUM($BO$10:BO19)),"-[h]:mm"),SUM($BO$10:BO19))</f>
        <v>-60:00</v>
      </c>
      <c r="BT19" s="124"/>
      <c r="BU19" s="123">
        <f t="shared" si="48"/>
        <v>0</v>
      </c>
      <c r="BV19" s="123">
        <f t="shared" si="51"/>
        <v>0</v>
      </c>
      <c r="BW19" s="123">
        <f t="shared" si="35"/>
        <v>0</v>
      </c>
      <c r="BX19" s="123">
        <f t="shared" si="36"/>
        <v>0</v>
      </c>
      <c r="BY19" s="123">
        <f t="shared" si="37"/>
        <v>0</v>
      </c>
      <c r="BZ19" s="123">
        <f t="shared" si="38"/>
        <v>0</v>
      </c>
      <c r="CA19" s="123">
        <f t="shared" si="39"/>
        <v>0</v>
      </c>
      <c r="CB19" s="123">
        <f t="shared" si="40"/>
        <v>0</v>
      </c>
      <c r="CC19" s="123">
        <f t="shared" si="49"/>
        <v>0</v>
      </c>
      <c r="CD19" s="74"/>
      <c r="CE19" s="123">
        <f t="shared" si="41"/>
        <v>0</v>
      </c>
      <c r="CH19" s="295" t="s">
        <v>273</v>
      </c>
      <c r="CI19" s="15">
        <v>10</v>
      </c>
      <c r="CJ19" s="15"/>
      <c r="CK19" s="16"/>
      <c r="CL19" s="17"/>
      <c r="CM19" s="17"/>
      <c r="CN19" s="17"/>
      <c r="CO19" s="17"/>
      <c r="CP19" s="17"/>
      <c r="CQ19" s="17"/>
      <c r="CR19" s="17"/>
      <c r="CS19" s="17"/>
      <c r="CT19" s="17"/>
      <c r="CU19" s="17"/>
      <c r="CV19" s="17"/>
      <c r="CW19" s="17"/>
      <c r="CX19" s="17"/>
      <c r="CY19" s="17"/>
      <c r="CZ19" s="17"/>
      <c r="DA19" s="17"/>
      <c r="DB19" s="17"/>
      <c r="DC19" s="17"/>
      <c r="DD19" s="17"/>
      <c r="DE19" s="17"/>
      <c r="DF19" s="17"/>
    </row>
    <row r="20" spans="1:110" ht="18" customHeight="1">
      <c r="A20" s="488">
        <f t="shared" si="50"/>
        <v>43384</v>
      </c>
      <c r="B20" s="317">
        <f t="shared" si="1"/>
        <v>5</v>
      </c>
      <c r="C20" s="66"/>
      <c r="D20" s="542"/>
      <c r="E20" s="301" t="s">
        <v>542</v>
      </c>
      <c r="F20" s="545"/>
      <c r="G20" s="456"/>
      <c r="H20" s="559"/>
      <c r="I20" s="556"/>
      <c r="J20" s="314">
        <f>IF(A20="","",作業時間報告書!BJ20)</f>
        <v>0.3125</v>
      </c>
      <c r="K20" s="51">
        <f>TIME(0,作業時間報告書!BC20,0)</f>
        <v>0</v>
      </c>
      <c r="L20" s="549">
        <f>IF(A20="","",作業時間報告書!BE20)</f>
        <v>0</v>
      </c>
      <c r="M20" s="552">
        <f>IF(A20="","",作業時間報告書!BH20)</f>
        <v>0</v>
      </c>
      <c r="N20" s="312"/>
      <c r="O20" s="55" t="str">
        <f>IF(A20="","",作業時間報告書!BS20)</f>
        <v>-67:30</v>
      </c>
      <c r="P20" s="708"/>
      <c r="Q20" s="708"/>
      <c r="R20" s="709"/>
      <c r="S20" s="710"/>
      <c r="T20" s="65"/>
      <c r="U20" s="45">
        <f t="shared" si="2"/>
        <v>1</v>
      </c>
      <c r="V20" s="62" t="b">
        <f t="shared" si="42"/>
        <v>0</v>
      </c>
      <c r="W20" s="62"/>
      <c r="X20" s="110">
        <f>作業時間報告書!A20</f>
        <v>43384</v>
      </c>
      <c r="Y20" s="111">
        <f t="shared" si="43"/>
        <v>0</v>
      </c>
      <c r="Z20" s="111">
        <f t="shared" si="3"/>
        <v>0</v>
      </c>
      <c r="AA20" s="111">
        <f t="shared" si="44"/>
        <v>0</v>
      </c>
      <c r="AB20" s="77">
        <f t="shared" si="4"/>
        <v>0</v>
      </c>
      <c r="AC20" s="112">
        <f t="shared" si="5"/>
        <v>0</v>
      </c>
      <c r="AD20" s="111">
        <f t="shared" si="6"/>
        <v>0</v>
      </c>
      <c r="AE20" s="77">
        <f t="shared" si="7"/>
        <v>0</v>
      </c>
      <c r="AF20" s="113">
        <f t="shared" si="8"/>
        <v>0</v>
      </c>
      <c r="AG20" s="77">
        <f t="shared" si="9"/>
        <v>0</v>
      </c>
      <c r="AH20" s="77">
        <f t="shared" si="45"/>
        <v>0</v>
      </c>
      <c r="AI20" s="112">
        <f t="shared" si="10"/>
        <v>0</v>
      </c>
      <c r="AJ20" s="77">
        <f t="shared" si="11"/>
        <v>0</v>
      </c>
      <c r="AK20" s="77">
        <f t="shared" si="12"/>
        <v>0</v>
      </c>
      <c r="AL20" s="112">
        <f t="shared" si="13"/>
        <v>0</v>
      </c>
      <c r="AM20" s="77">
        <f t="shared" si="14"/>
        <v>0</v>
      </c>
      <c r="AN20" s="77">
        <f t="shared" si="15"/>
        <v>0</v>
      </c>
      <c r="AO20" s="112">
        <f t="shared" si="16"/>
        <v>0</v>
      </c>
      <c r="AP20" s="77">
        <f t="shared" si="17"/>
        <v>0</v>
      </c>
      <c r="AQ20" s="77">
        <f t="shared" si="18"/>
        <v>0</v>
      </c>
      <c r="AR20" s="112">
        <f t="shared" si="19"/>
        <v>0</v>
      </c>
      <c r="AS20" s="77">
        <f t="shared" si="20"/>
        <v>0</v>
      </c>
      <c r="AT20" s="77">
        <f t="shared" si="21"/>
        <v>0</v>
      </c>
      <c r="AU20" s="112">
        <f t="shared" si="22"/>
        <v>0</v>
      </c>
      <c r="AV20" s="77">
        <f t="shared" si="23"/>
        <v>0</v>
      </c>
      <c r="AW20" s="77">
        <f t="shared" si="24"/>
        <v>0</v>
      </c>
      <c r="AX20" s="112">
        <f t="shared" si="25"/>
        <v>0</v>
      </c>
      <c r="AY20" s="114">
        <f>IF(作業時間報告書!G20=作業時間報告書!$AY$9,作業時間報告書!$X$4,0)</f>
        <v>0</v>
      </c>
      <c r="AZ20" s="115">
        <f>IF(ISNUMBER(作業時間報告書!I20),作業時間報告書!I20,0)*24*60</f>
        <v>0</v>
      </c>
      <c r="BA20" s="115">
        <f>作業時間報告書!H20*24*60</f>
        <v>0</v>
      </c>
      <c r="BB20" s="115">
        <f t="shared" si="26"/>
        <v>0</v>
      </c>
      <c r="BC20" s="116">
        <f t="shared" si="27"/>
        <v>0</v>
      </c>
      <c r="BD20" s="111">
        <f t="shared" si="46"/>
        <v>0</v>
      </c>
      <c r="BE20" s="117">
        <f t="shared" si="28"/>
        <v>0</v>
      </c>
      <c r="BF20" s="117">
        <f t="shared" si="29"/>
        <v>0</v>
      </c>
      <c r="BG20" s="118">
        <f>SUM(BD$10:BD20)</f>
        <v>0</v>
      </c>
      <c r="BH20" s="119">
        <f>SUM(BE$10:BE20)</f>
        <v>0</v>
      </c>
      <c r="BI20" s="120">
        <f>IF(作業時間報告書!U20=1,作業時間報告書!$X$4,0)</f>
        <v>450</v>
      </c>
      <c r="BJ20" s="117">
        <f t="shared" si="30"/>
        <v>0.3125</v>
      </c>
      <c r="BK20" s="120">
        <f>SUM(BI$10:BI20)</f>
        <v>4050</v>
      </c>
      <c r="BL20" s="119">
        <f>SUM(BJ$10:BJ20)</f>
        <v>2.8125</v>
      </c>
      <c r="BM20" s="120">
        <f t="shared" si="31"/>
        <v>-450</v>
      </c>
      <c r="BN20" s="121" t="str">
        <f t="shared" si="32"/>
        <v>-</v>
      </c>
      <c r="BO20" s="119">
        <f t="shared" si="47"/>
        <v>-0.3125</v>
      </c>
      <c r="BP20" s="120">
        <f>SUM(BM$10:BM20)</f>
        <v>-4050</v>
      </c>
      <c r="BQ20" s="121" t="str">
        <f t="shared" si="33"/>
        <v>-</v>
      </c>
      <c r="BR20" s="122">
        <f t="shared" si="34"/>
        <v>4050</v>
      </c>
      <c r="BS20" s="299" t="str">
        <f>IF(SUM($BO$10:BO20)&lt;0,TEXT(ABS(SUM($BO$10:BO20)),"-[h]:mm"),SUM($BO$10:BO20))</f>
        <v>-67:30</v>
      </c>
      <c r="BT20" s="124"/>
      <c r="BU20" s="123">
        <f t="shared" si="48"/>
        <v>0</v>
      </c>
      <c r="BV20" s="123">
        <f t="shared" si="51"/>
        <v>0</v>
      </c>
      <c r="BW20" s="123">
        <f t="shared" si="35"/>
        <v>0</v>
      </c>
      <c r="BX20" s="123">
        <f t="shared" si="36"/>
        <v>0</v>
      </c>
      <c r="BY20" s="123">
        <f t="shared" si="37"/>
        <v>0</v>
      </c>
      <c r="BZ20" s="123">
        <f t="shared" si="38"/>
        <v>0</v>
      </c>
      <c r="CA20" s="123">
        <f t="shared" si="39"/>
        <v>0</v>
      </c>
      <c r="CB20" s="123">
        <f t="shared" si="40"/>
        <v>0</v>
      </c>
      <c r="CC20" s="123">
        <f t="shared" si="49"/>
        <v>0</v>
      </c>
      <c r="CD20" s="74"/>
      <c r="CE20" s="123">
        <f t="shared" si="41"/>
        <v>0</v>
      </c>
      <c r="CH20" s="295" t="s">
        <v>274</v>
      </c>
      <c r="CI20" s="12">
        <v>11</v>
      </c>
      <c r="CJ20" s="12"/>
      <c r="CK20" s="20"/>
      <c r="CL20" s="14"/>
      <c r="CM20" s="14"/>
      <c r="CN20" s="14"/>
      <c r="CO20" s="14"/>
      <c r="CP20" s="14"/>
      <c r="CQ20" s="14"/>
      <c r="CR20" s="14"/>
      <c r="CS20" s="14"/>
      <c r="CT20" s="14"/>
      <c r="CU20" s="14"/>
      <c r="CV20" s="14"/>
      <c r="CW20" s="14"/>
      <c r="CX20" s="14"/>
      <c r="CY20" s="14"/>
      <c r="CZ20" s="14"/>
      <c r="DA20" s="14"/>
      <c r="DB20" s="14"/>
      <c r="DC20" s="14"/>
      <c r="DD20" s="14"/>
      <c r="DE20" s="14"/>
      <c r="DF20" s="14"/>
    </row>
    <row r="21" spans="1:110" ht="18" customHeight="1">
      <c r="A21" s="488">
        <f t="shared" si="50"/>
        <v>43385</v>
      </c>
      <c r="B21" s="317">
        <f t="shared" si="1"/>
        <v>6</v>
      </c>
      <c r="C21" s="66"/>
      <c r="D21" s="542"/>
      <c r="E21" s="301" t="s">
        <v>547</v>
      </c>
      <c r="F21" s="545"/>
      <c r="G21" s="456"/>
      <c r="H21" s="559"/>
      <c r="I21" s="556"/>
      <c r="J21" s="314">
        <f>IF(A21="","",作業時間報告書!BJ21)</f>
        <v>0.3125</v>
      </c>
      <c r="K21" s="51">
        <f>TIME(0,作業時間報告書!BC21,0)</f>
        <v>0</v>
      </c>
      <c r="L21" s="549">
        <f>IF(A21="","",作業時間報告書!BE21)</f>
        <v>0</v>
      </c>
      <c r="M21" s="552">
        <f>IF(A21="","",作業時間報告書!BH21)</f>
        <v>0</v>
      </c>
      <c r="N21" s="312"/>
      <c r="O21" s="55" t="str">
        <f>IF(A21="","",作業時間報告書!BS21)</f>
        <v>-75:00</v>
      </c>
      <c r="P21" s="708"/>
      <c r="Q21" s="708"/>
      <c r="R21" s="709"/>
      <c r="S21" s="710"/>
      <c r="T21" s="65"/>
      <c r="U21" s="45">
        <f t="shared" si="2"/>
        <v>1</v>
      </c>
      <c r="V21" s="62" t="b">
        <f>AND($H21&gt;0,$BB21=0)</f>
        <v>0</v>
      </c>
      <c r="W21" s="62"/>
      <c r="X21" s="110">
        <f>作業時間報告書!A21</f>
        <v>43385</v>
      </c>
      <c r="Y21" s="111">
        <f t="shared" si="43"/>
        <v>0</v>
      </c>
      <c r="Z21" s="111">
        <f t="shared" si="3"/>
        <v>0</v>
      </c>
      <c r="AA21" s="111">
        <f t="shared" si="44"/>
        <v>0</v>
      </c>
      <c r="AB21" s="77">
        <f t="shared" si="4"/>
        <v>0</v>
      </c>
      <c r="AC21" s="112">
        <f t="shared" si="5"/>
        <v>0</v>
      </c>
      <c r="AD21" s="111">
        <f t="shared" si="6"/>
        <v>0</v>
      </c>
      <c r="AE21" s="77">
        <f t="shared" si="7"/>
        <v>0</v>
      </c>
      <c r="AF21" s="113">
        <f t="shared" si="8"/>
        <v>0</v>
      </c>
      <c r="AG21" s="77">
        <f t="shared" si="9"/>
        <v>0</v>
      </c>
      <c r="AH21" s="77">
        <f t="shared" si="45"/>
        <v>0</v>
      </c>
      <c r="AI21" s="112">
        <f t="shared" si="10"/>
        <v>0</v>
      </c>
      <c r="AJ21" s="77">
        <f t="shared" si="11"/>
        <v>0</v>
      </c>
      <c r="AK21" s="77">
        <f t="shared" si="12"/>
        <v>0</v>
      </c>
      <c r="AL21" s="112">
        <f t="shared" si="13"/>
        <v>0</v>
      </c>
      <c r="AM21" s="77">
        <f t="shared" si="14"/>
        <v>0</v>
      </c>
      <c r="AN21" s="77">
        <f t="shared" si="15"/>
        <v>0</v>
      </c>
      <c r="AO21" s="112">
        <f t="shared" si="16"/>
        <v>0</v>
      </c>
      <c r="AP21" s="77">
        <f t="shared" si="17"/>
        <v>0</v>
      </c>
      <c r="AQ21" s="77">
        <f t="shared" si="18"/>
        <v>0</v>
      </c>
      <c r="AR21" s="112">
        <f t="shared" si="19"/>
        <v>0</v>
      </c>
      <c r="AS21" s="77">
        <f t="shared" si="20"/>
        <v>0</v>
      </c>
      <c r="AT21" s="77">
        <f t="shared" si="21"/>
        <v>0</v>
      </c>
      <c r="AU21" s="112">
        <f t="shared" si="22"/>
        <v>0</v>
      </c>
      <c r="AV21" s="77">
        <f t="shared" si="23"/>
        <v>0</v>
      </c>
      <c r="AW21" s="77">
        <f t="shared" si="24"/>
        <v>0</v>
      </c>
      <c r="AX21" s="112">
        <f t="shared" si="25"/>
        <v>0</v>
      </c>
      <c r="AY21" s="114">
        <f>IF(作業時間報告書!G21=作業時間報告書!$AY$9,作業時間報告書!$X$4,0)</f>
        <v>0</v>
      </c>
      <c r="AZ21" s="115">
        <f>IF(ISNUMBER(作業時間報告書!I21),作業時間報告書!I21,0)*24*60</f>
        <v>0</v>
      </c>
      <c r="BA21" s="115">
        <f>作業時間報告書!H21*24*60</f>
        <v>0</v>
      </c>
      <c r="BB21" s="115">
        <f t="shared" si="26"/>
        <v>0</v>
      </c>
      <c r="BC21" s="116">
        <f t="shared" si="27"/>
        <v>0</v>
      </c>
      <c r="BD21" s="111">
        <f t="shared" si="46"/>
        <v>0</v>
      </c>
      <c r="BE21" s="117">
        <f t="shared" si="28"/>
        <v>0</v>
      </c>
      <c r="BF21" s="117">
        <f t="shared" si="29"/>
        <v>0</v>
      </c>
      <c r="BG21" s="118">
        <f>SUM(BD$10:BD21)</f>
        <v>0</v>
      </c>
      <c r="BH21" s="119">
        <f>SUM(BE$10:BE21)</f>
        <v>0</v>
      </c>
      <c r="BI21" s="120">
        <f>IF(作業時間報告書!U21=1,作業時間報告書!$X$4,0)</f>
        <v>450</v>
      </c>
      <c r="BJ21" s="117">
        <f t="shared" si="30"/>
        <v>0.3125</v>
      </c>
      <c r="BK21" s="120">
        <f>SUM(BI$10:BI21)</f>
        <v>4500</v>
      </c>
      <c r="BL21" s="119">
        <f>SUM(BJ$10:BJ21)</f>
        <v>3.125</v>
      </c>
      <c r="BM21" s="120">
        <f t="shared" si="31"/>
        <v>-450</v>
      </c>
      <c r="BN21" s="121" t="str">
        <f t="shared" si="32"/>
        <v>-</v>
      </c>
      <c r="BO21" s="119">
        <f t="shared" si="47"/>
        <v>-0.3125</v>
      </c>
      <c r="BP21" s="120">
        <f>SUM(BM$10:BM21)</f>
        <v>-4500</v>
      </c>
      <c r="BQ21" s="121" t="str">
        <f t="shared" si="33"/>
        <v>-</v>
      </c>
      <c r="BR21" s="122">
        <f t="shared" si="34"/>
        <v>4500</v>
      </c>
      <c r="BS21" s="299" t="str">
        <f>IF(SUM($BO$10:BO21)&lt;0,TEXT(ABS(SUM($BO$10:BO21)),"-[h]:mm"),SUM($BO$10:BO21))</f>
        <v>-75:00</v>
      </c>
      <c r="BT21" s="124"/>
      <c r="BU21" s="123">
        <f t="shared" si="48"/>
        <v>0</v>
      </c>
      <c r="BV21" s="123">
        <f t="shared" si="51"/>
        <v>0</v>
      </c>
      <c r="BW21" s="123">
        <f t="shared" si="35"/>
        <v>0</v>
      </c>
      <c r="BX21" s="123">
        <f t="shared" si="36"/>
        <v>0</v>
      </c>
      <c r="BY21" s="123">
        <f t="shared" si="37"/>
        <v>0</v>
      </c>
      <c r="BZ21" s="123">
        <f t="shared" si="38"/>
        <v>0</v>
      </c>
      <c r="CA21" s="123">
        <f t="shared" si="39"/>
        <v>0</v>
      </c>
      <c r="CB21" s="123">
        <f t="shared" si="40"/>
        <v>0</v>
      </c>
      <c r="CC21" s="123">
        <f t="shared" si="49"/>
        <v>0</v>
      </c>
      <c r="CD21" s="74"/>
      <c r="CE21" s="123">
        <f t="shared" si="41"/>
        <v>0</v>
      </c>
      <c r="CH21" s="295" t="s">
        <v>275</v>
      </c>
      <c r="CI21" s="15">
        <v>12</v>
      </c>
      <c r="CJ21" s="15"/>
      <c r="CK21" s="16"/>
      <c r="CL21" s="17"/>
      <c r="CM21" s="17"/>
      <c r="CN21" s="17"/>
      <c r="CO21" s="17"/>
      <c r="CP21" s="17"/>
      <c r="CQ21" s="17"/>
      <c r="CR21" s="17"/>
      <c r="CS21" s="17"/>
      <c r="CT21" s="17"/>
      <c r="CU21" s="17"/>
      <c r="CV21" s="17"/>
      <c r="CW21" s="17"/>
      <c r="CX21" s="17"/>
      <c r="CY21" s="17"/>
      <c r="CZ21" s="17"/>
      <c r="DA21" s="17"/>
      <c r="DB21" s="17"/>
      <c r="DC21" s="17"/>
      <c r="DD21" s="17"/>
      <c r="DE21" s="17"/>
      <c r="DF21" s="17"/>
    </row>
    <row r="22" spans="1:110" ht="18" customHeight="1">
      <c r="A22" s="488">
        <f t="shared" si="50"/>
        <v>43386</v>
      </c>
      <c r="B22" s="317">
        <f t="shared" si="1"/>
        <v>7</v>
      </c>
      <c r="C22" s="66"/>
      <c r="D22" s="542"/>
      <c r="E22" s="301" t="s">
        <v>542</v>
      </c>
      <c r="F22" s="545"/>
      <c r="G22" s="456"/>
      <c r="H22" s="559"/>
      <c r="I22" s="556"/>
      <c r="J22" s="314">
        <f>IF(A22="","",作業時間報告書!BJ22)</f>
        <v>0</v>
      </c>
      <c r="K22" s="51">
        <f>TIME(0,作業時間報告書!BC22,0)</f>
        <v>0</v>
      </c>
      <c r="L22" s="549">
        <f>IF(A22="","",作業時間報告書!BE22)</f>
        <v>0</v>
      </c>
      <c r="M22" s="552">
        <f>IF(A22="","",作業時間報告書!BH22)</f>
        <v>0</v>
      </c>
      <c r="N22" s="312"/>
      <c r="O22" s="55" t="str">
        <f>IF(A22="","",作業時間報告書!BS22)</f>
        <v>-75:00</v>
      </c>
      <c r="P22" s="708"/>
      <c r="Q22" s="708"/>
      <c r="R22" s="709"/>
      <c r="S22" s="710"/>
      <c r="T22" s="65"/>
      <c r="U22" s="45">
        <f t="shared" si="2"/>
        <v>0</v>
      </c>
      <c r="V22" s="62" t="b">
        <f t="shared" si="42"/>
        <v>0</v>
      </c>
      <c r="W22" s="62"/>
      <c r="X22" s="110">
        <f>作業時間報告書!A22</f>
        <v>43386</v>
      </c>
      <c r="Y22" s="111">
        <f t="shared" si="43"/>
        <v>0</v>
      </c>
      <c r="Z22" s="111">
        <f t="shared" si="3"/>
        <v>0</v>
      </c>
      <c r="AA22" s="111">
        <f t="shared" si="44"/>
        <v>0</v>
      </c>
      <c r="AB22" s="77">
        <f t="shared" si="4"/>
        <v>0</v>
      </c>
      <c r="AC22" s="112">
        <f t="shared" si="5"/>
        <v>0</v>
      </c>
      <c r="AD22" s="111">
        <f t="shared" si="6"/>
        <v>0</v>
      </c>
      <c r="AE22" s="77">
        <f t="shared" si="7"/>
        <v>0</v>
      </c>
      <c r="AF22" s="113">
        <f t="shared" si="8"/>
        <v>0</v>
      </c>
      <c r="AG22" s="77">
        <f t="shared" si="9"/>
        <v>0</v>
      </c>
      <c r="AH22" s="77">
        <f t="shared" si="45"/>
        <v>0</v>
      </c>
      <c r="AI22" s="112">
        <f t="shared" si="10"/>
        <v>0</v>
      </c>
      <c r="AJ22" s="77">
        <f t="shared" si="11"/>
        <v>0</v>
      </c>
      <c r="AK22" s="77">
        <f t="shared" si="12"/>
        <v>0</v>
      </c>
      <c r="AL22" s="112">
        <f t="shared" si="13"/>
        <v>0</v>
      </c>
      <c r="AM22" s="77">
        <f t="shared" si="14"/>
        <v>0</v>
      </c>
      <c r="AN22" s="77">
        <f t="shared" si="15"/>
        <v>0</v>
      </c>
      <c r="AO22" s="112">
        <f t="shared" si="16"/>
        <v>0</v>
      </c>
      <c r="AP22" s="77">
        <f t="shared" si="17"/>
        <v>0</v>
      </c>
      <c r="AQ22" s="77">
        <f t="shared" si="18"/>
        <v>0</v>
      </c>
      <c r="AR22" s="112">
        <f t="shared" si="19"/>
        <v>0</v>
      </c>
      <c r="AS22" s="77">
        <f t="shared" si="20"/>
        <v>0</v>
      </c>
      <c r="AT22" s="77">
        <f t="shared" si="21"/>
        <v>0</v>
      </c>
      <c r="AU22" s="112">
        <f t="shared" si="22"/>
        <v>0</v>
      </c>
      <c r="AV22" s="77">
        <f t="shared" si="23"/>
        <v>0</v>
      </c>
      <c r="AW22" s="77">
        <f t="shared" si="24"/>
        <v>0</v>
      </c>
      <c r="AX22" s="112">
        <f t="shared" si="25"/>
        <v>0</v>
      </c>
      <c r="AY22" s="114">
        <f>IF(作業時間報告書!G22=作業時間報告書!$AY$9,作業時間報告書!$X$4,0)</f>
        <v>0</v>
      </c>
      <c r="AZ22" s="115">
        <f>IF(ISNUMBER(作業時間報告書!I22),作業時間報告書!I22,0)*24*60</f>
        <v>0</v>
      </c>
      <c r="BA22" s="115">
        <f>作業時間報告書!H22*24*60</f>
        <v>0</v>
      </c>
      <c r="BB22" s="115">
        <f t="shared" si="26"/>
        <v>0</v>
      </c>
      <c r="BC22" s="116">
        <f t="shared" si="27"/>
        <v>0</v>
      </c>
      <c r="BD22" s="111">
        <f t="shared" si="46"/>
        <v>0</v>
      </c>
      <c r="BE22" s="117">
        <f t="shared" si="28"/>
        <v>0</v>
      </c>
      <c r="BF22" s="117">
        <f t="shared" si="29"/>
        <v>0</v>
      </c>
      <c r="BG22" s="118">
        <f>SUM(BD$10:BD22)</f>
        <v>0</v>
      </c>
      <c r="BH22" s="119">
        <f>SUM(BE$10:BE22)</f>
        <v>0</v>
      </c>
      <c r="BI22" s="120">
        <f>IF(作業時間報告書!U22=1,作業時間報告書!$X$4,0)</f>
        <v>0</v>
      </c>
      <c r="BJ22" s="117">
        <f t="shared" si="30"/>
        <v>0</v>
      </c>
      <c r="BK22" s="120">
        <f>SUM(BI$10:BI22)</f>
        <v>4500</v>
      </c>
      <c r="BL22" s="119">
        <f>SUM(BJ$10:BJ22)</f>
        <v>3.125</v>
      </c>
      <c r="BM22" s="120">
        <f t="shared" si="31"/>
        <v>0</v>
      </c>
      <c r="BN22" s="121" t="str">
        <f t="shared" si="32"/>
        <v/>
      </c>
      <c r="BO22" s="119">
        <f t="shared" si="47"/>
        <v>0</v>
      </c>
      <c r="BP22" s="120">
        <f>SUM(BM$10:BM22)</f>
        <v>-4500</v>
      </c>
      <c r="BQ22" s="121" t="str">
        <f t="shared" si="33"/>
        <v>-</v>
      </c>
      <c r="BR22" s="122">
        <f t="shared" si="34"/>
        <v>4500</v>
      </c>
      <c r="BS22" s="299" t="str">
        <f>IF(SUM($BO$10:BO22)&lt;0,TEXT(ABS(SUM($BO$10:BO22)),"-[h]:mm"),SUM($BO$10:BO22))</f>
        <v>-75:00</v>
      </c>
      <c r="BT22" s="124"/>
      <c r="BU22" s="123">
        <f t="shared" si="48"/>
        <v>0</v>
      </c>
      <c r="BV22" s="123">
        <f t="shared" si="51"/>
        <v>0</v>
      </c>
      <c r="BW22" s="123">
        <f t="shared" si="35"/>
        <v>0</v>
      </c>
      <c r="BX22" s="123">
        <f t="shared" si="36"/>
        <v>0</v>
      </c>
      <c r="BY22" s="123">
        <f t="shared" si="37"/>
        <v>0</v>
      </c>
      <c r="BZ22" s="123">
        <f t="shared" si="38"/>
        <v>0</v>
      </c>
      <c r="CA22" s="123">
        <f t="shared" si="39"/>
        <v>0</v>
      </c>
      <c r="CB22" s="123">
        <f t="shared" si="40"/>
        <v>0</v>
      </c>
      <c r="CC22" s="123">
        <f t="shared" si="49"/>
        <v>0</v>
      </c>
      <c r="CD22" s="74"/>
      <c r="CE22" s="123">
        <f t="shared" si="41"/>
        <v>0</v>
      </c>
      <c r="CH22" s="295" t="s">
        <v>276</v>
      </c>
      <c r="CI22" s="21">
        <v>13</v>
      </c>
      <c r="CJ22" s="21"/>
      <c r="CK22" s="18"/>
      <c r="CL22" s="14"/>
      <c r="CM22" s="14"/>
      <c r="CN22" s="14"/>
      <c r="CO22" s="14"/>
      <c r="CP22" s="14"/>
      <c r="CQ22" s="14"/>
      <c r="CR22" s="14"/>
      <c r="CS22" s="14"/>
      <c r="CT22" s="14"/>
      <c r="CU22" s="14"/>
      <c r="CV22" s="14"/>
      <c r="CW22" s="14"/>
      <c r="CX22" s="14"/>
      <c r="CY22" s="14"/>
      <c r="CZ22" s="14"/>
      <c r="DA22" s="14"/>
      <c r="DB22" s="14"/>
      <c r="DC22" s="14"/>
      <c r="DD22" s="14"/>
      <c r="DE22" s="14"/>
      <c r="DF22" s="14"/>
    </row>
    <row r="23" spans="1:110" ht="18" customHeight="1">
      <c r="A23" s="488">
        <f t="shared" si="50"/>
        <v>43387</v>
      </c>
      <c r="B23" s="317">
        <f t="shared" si="1"/>
        <v>1</v>
      </c>
      <c r="C23" s="66"/>
      <c r="D23" s="542"/>
      <c r="E23" s="301" t="s">
        <v>547</v>
      </c>
      <c r="F23" s="545"/>
      <c r="G23" s="456"/>
      <c r="H23" s="559"/>
      <c r="I23" s="556"/>
      <c r="J23" s="314">
        <f>IF(A23="","",作業時間報告書!BJ23)</f>
        <v>0</v>
      </c>
      <c r="K23" s="51">
        <f>TIME(0,作業時間報告書!BC23,0)</f>
        <v>0</v>
      </c>
      <c r="L23" s="549">
        <f>IF(A23="","",作業時間報告書!BE23)</f>
        <v>0</v>
      </c>
      <c r="M23" s="552">
        <f>IF(A23="","",作業時間報告書!BH23)</f>
        <v>0</v>
      </c>
      <c r="N23" s="312"/>
      <c r="O23" s="55" t="str">
        <f>IF(A23="","",作業時間報告書!BS23)</f>
        <v>-75:00</v>
      </c>
      <c r="P23" s="708"/>
      <c r="Q23" s="708"/>
      <c r="R23" s="709"/>
      <c r="S23" s="710"/>
      <c r="T23" s="65"/>
      <c r="U23" s="45">
        <f t="shared" si="2"/>
        <v>0</v>
      </c>
      <c r="V23" s="62" t="b">
        <f t="shared" si="42"/>
        <v>0</v>
      </c>
      <c r="W23" s="62"/>
      <c r="X23" s="110">
        <f>作業時間報告書!A23</f>
        <v>43387</v>
      </c>
      <c r="Y23" s="111">
        <f t="shared" si="43"/>
        <v>0</v>
      </c>
      <c r="Z23" s="111">
        <f t="shared" si="3"/>
        <v>0</v>
      </c>
      <c r="AA23" s="111">
        <f t="shared" si="44"/>
        <v>0</v>
      </c>
      <c r="AB23" s="77">
        <f t="shared" si="4"/>
        <v>0</v>
      </c>
      <c r="AC23" s="112">
        <f t="shared" si="5"/>
        <v>0</v>
      </c>
      <c r="AD23" s="111">
        <f t="shared" si="6"/>
        <v>0</v>
      </c>
      <c r="AE23" s="77">
        <f t="shared" si="7"/>
        <v>0</v>
      </c>
      <c r="AF23" s="113">
        <f t="shared" si="8"/>
        <v>0</v>
      </c>
      <c r="AG23" s="77">
        <f t="shared" si="9"/>
        <v>0</v>
      </c>
      <c r="AH23" s="77">
        <f t="shared" si="45"/>
        <v>0</v>
      </c>
      <c r="AI23" s="112">
        <f t="shared" si="10"/>
        <v>0</v>
      </c>
      <c r="AJ23" s="77">
        <f t="shared" si="11"/>
        <v>0</v>
      </c>
      <c r="AK23" s="77">
        <f t="shared" si="12"/>
        <v>0</v>
      </c>
      <c r="AL23" s="112">
        <f t="shared" si="13"/>
        <v>0</v>
      </c>
      <c r="AM23" s="77">
        <f t="shared" si="14"/>
        <v>0</v>
      </c>
      <c r="AN23" s="77">
        <f t="shared" si="15"/>
        <v>0</v>
      </c>
      <c r="AO23" s="112">
        <f t="shared" si="16"/>
        <v>0</v>
      </c>
      <c r="AP23" s="77">
        <f t="shared" si="17"/>
        <v>0</v>
      </c>
      <c r="AQ23" s="77">
        <f t="shared" si="18"/>
        <v>0</v>
      </c>
      <c r="AR23" s="112">
        <f t="shared" si="19"/>
        <v>0</v>
      </c>
      <c r="AS23" s="77">
        <f t="shared" si="20"/>
        <v>0</v>
      </c>
      <c r="AT23" s="77">
        <f t="shared" si="21"/>
        <v>0</v>
      </c>
      <c r="AU23" s="112">
        <f t="shared" si="22"/>
        <v>0</v>
      </c>
      <c r="AV23" s="77">
        <f t="shared" si="23"/>
        <v>0</v>
      </c>
      <c r="AW23" s="77">
        <f t="shared" si="24"/>
        <v>0</v>
      </c>
      <c r="AX23" s="112">
        <f t="shared" si="25"/>
        <v>0</v>
      </c>
      <c r="AY23" s="114">
        <f>IF(作業時間報告書!G23=作業時間報告書!$AY$9,作業時間報告書!$X$4,0)</f>
        <v>0</v>
      </c>
      <c r="AZ23" s="115">
        <f>IF(ISNUMBER(作業時間報告書!I23),作業時間報告書!I23,0)*24*60</f>
        <v>0</v>
      </c>
      <c r="BA23" s="115">
        <f>作業時間報告書!H23*24*60</f>
        <v>0</v>
      </c>
      <c r="BB23" s="115">
        <f t="shared" si="26"/>
        <v>0</v>
      </c>
      <c r="BC23" s="116">
        <f t="shared" si="27"/>
        <v>0</v>
      </c>
      <c r="BD23" s="111">
        <f t="shared" si="46"/>
        <v>0</v>
      </c>
      <c r="BE23" s="117">
        <f t="shared" si="28"/>
        <v>0</v>
      </c>
      <c r="BF23" s="117">
        <f t="shared" si="29"/>
        <v>0</v>
      </c>
      <c r="BG23" s="118">
        <f>SUM(BD$10:BD23)</f>
        <v>0</v>
      </c>
      <c r="BH23" s="119">
        <f>SUM(BE$10:BE23)</f>
        <v>0</v>
      </c>
      <c r="BI23" s="120">
        <f>IF(作業時間報告書!U23=1,作業時間報告書!$X$4,0)</f>
        <v>0</v>
      </c>
      <c r="BJ23" s="117">
        <f t="shared" si="30"/>
        <v>0</v>
      </c>
      <c r="BK23" s="120">
        <f>SUM(BI$10:BI23)</f>
        <v>4500</v>
      </c>
      <c r="BL23" s="119">
        <f>SUM(BJ$10:BJ23)</f>
        <v>3.125</v>
      </c>
      <c r="BM23" s="120">
        <f t="shared" si="31"/>
        <v>0</v>
      </c>
      <c r="BN23" s="121" t="str">
        <f t="shared" si="32"/>
        <v/>
      </c>
      <c r="BO23" s="119">
        <f t="shared" si="47"/>
        <v>0</v>
      </c>
      <c r="BP23" s="120">
        <f>SUM(BM$10:BM23)</f>
        <v>-4500</v>
      </c>
      <c r="BQ23" s="121" t="str">
        <f t="shared" si="33"/>
        <v>-</v>
      </c>
      <c r="BR23" s="122">
        <f t="shared" si="34"/>
        <v>4500</v>
      </c>
      <c r="BS23" s="299" t="str">
        <f>IF(SUM($BO$10:BO23)&lt;0,TEXT(ABS(SUM($BO$10:BO23)),"-[h]:mm"),SUM($BO$10:BO23))</f>
        <v>-75:00</v>
      </c>
      <c r="BT23" s="124"/>
      <c r="BU23" s="123">
        <f t="shared" si="48"/>
        <v>0</v>
      </c>
      <c r="BV23" s="123">
        <f t="shared" si="51"/>
        <v>0</v>
      </c>
      <c r="BW23" s="123">
        <f t="shared" si="35"/>
        <v>0</v>
      </c>
      <c r="BX23" s="123">
        <f t="shared" si="36"/>
        <v>0</v>
      </c>
      <c r="BY23" s="123">
        <f t="shared" si="37"/>
        <v>0</v>
      </c>
      <c r="BZ23" s="123">
        <f t="shared" si="38"/>
        <v>0</v>
      </c>
      <c r="CA23" s="123">
        <f t="shared" si="39"/>
        <v>0</v>
      </c>
      <c r="CB23" s="123">
        <f t="shared" si="40"/>
        <v>0</v>
      </c>
      <c r="CC23" s="123">
        <f t="shared" si="49"/>
        <v>0</v>
      </c>
      <c r="CD23" s="74"/>
      <c r="CE23" s="123">
        <f t="shared" si="41"/>
        <v>0</v>
      </c>
      <c r="CH23" s="295" t="s">
        <v>277</v>
      </c>
      <c r="CI23" s="22">
        <v>14</v>
      </c>
      <c r="CJ23" s="22"/>
      <c r="CK23" s="19"/>
      <c r="CL23" s="17"/>
      <c r="CM23" s="17"/>
      <c r="CN23" s="17"/>
      <c r="CO23" s="17"/>
      <c r="CP23" s="17"/>
      <c r="CQ23" s="17"/>
      <c r="CR23" s="17"/>
      <c r="CS23" s="17"/>
      <c r="CT23" s="17"/>
      <c r="CU23" s="17"/>
      <c r="CV23" s="17"/>
      <c r="CW23" s="17"/>
      <c r="CX23" s="17"/>
      <c r="CY23" s="17"/>
      <c r="CZ23" s="17"/>
      <c r="DA23" s="17"/>
      <c r="DB23" s="17"/>
      <c r="DC23" s="17"/>
      <c r="DD23" s="17"/>
      <c r="DE23" s="17"/>
      <c r="DF23" s="17"/>
    </row>
    <row r="24" spans="1:110" ht="18" customHeight="1">
      <c r="A24" s="488">
        <f t="shared" si="50"/>
        <v>43388</v>
      </c>
      <c r="B24" s="317">
        <f t="shared" si="1"/>
        <v>2</v>
      </c>
      <c r="C24" s="66"/>
      <c r="D24" s="542"/>
      <c r="E24" s="301" t="s">
        <v>540</v>
      </c>
      <c r="F24" s="545"/>
      <c r="G24" s="456"/>
      <c r="H24" s="559"/>
      <c r="I24" s="556"/>
      <c r="J24" s="314">
        <f>IF(A24="","",作業時間報告書!BJ24)</f>
        <v>0.3125</v>
      </c>
      <c r="K24" s="51">
        <f>TIME(0,作業時間報告書!BC24,0)</f>
        <v>0</v>
      </c>
      <c r="L24" s="549">
        <f>IF(A24="","",作業時間報告書!BE24)</f>
        <v>0</v>
      </c>
      <c r="M24" s="552">
        <f>IF(A24="","",作業時間報告書!BH24)</f>
        <v>0</v>
      </c>
      <c r="N24" s="312"/>
      <c r="O24" s="55" t="str">
        <f>IF(A24="","",作業時間報告書!BS24)</f>
        <v>-82:30</v>
      </c>
      <c r="P24" s="708"/>
      <c r="Q24" s="708"/>
      <c r="R24" s="709"/>
      <c r="S24" s="710"/>
      <c r="T24" s="65"/>
      <c r="U24" s="45">
        <f t="shared" si="2"/>
        <v>1</v>
      </c>
      <c r="V24" s="62" t="b">
        <f t="shared" si="42"/>
        <v>0</v>
      </c>
      <c r="W24" s="62"/>
      <c r="X24" s="110">
        <f>作業時間報告書!A24</f>
        <v>43388</v>
      </c>
      <c r="Y24" s="111">
        <f t="shared" si="43"/>
        <v>0</v>
      </c>
      <c r="Z24" s="111">
        <f t="shared" si="3"/>
        <v>0</v>
      </c>
      <c r="AA24" s="111">
        <f t="shared" si="44"/>
        <v>0</v>
      </c>
      <c r="AB24" s="77">
        <f t="shared" si="4"/>
        <v>0</v>
      </c>
      <c r="AC24" s="112">
        <f t="shared" si="5"/>
        <v>0</v>
      </c>
      <c r="AD24" s="111">
        <f t="shared" si="6"/>
        <v>0</v>
      </c>
      <c r="AE24" s="77">
        <f t="shared" si="7"/>
        <v>0</v>
      </c>
      <c r="AF24" s="113">
        <f t="shared" si="8"/>
        <v>0</v>
      </c>
      <c r="AG24" s="77">
        <f t="shared" si="9"/>
        <v>0</v>
      </c>
      <c r="AH24" s="77">
        <f t="shared" si="45"/>
        <v>0</v>
      </c>
      <c r="AI24" s="112">
        <f t="shared" si="10"/>
        <v>0</v>
      </c>
      <c r="AJ24" s="77">
        <f t="shared" si="11"/>
        <v>0</v>
      </c>
      <c r="AK24" s="77">
        <f t="shared" si="12"/>
        <v>0</v>
      </c>
      <c r="AL24" s="112">
        <f t="shared" si="13"/>
        <v>0</v>
      </c>
      <c r="AM24" s="77">
        <f t="shared" si="14"/>
        <v>0</v>
      </c>
      <c r="AN24" s="77">
        <f t="shared" si="15"/>
        <v>0</v>
      </c>
      <c r="AO24" s="112">
        <f t="shared" si="16"/>
        <v>0</v>
      </c>
      <c r="AP24" s="77">
        <f t="shared" si="17"/>
        <v>0</v>
      </c>
      <c r="AQ24" s="77">
        <f t="shared" si="18"/>
        <v>0</v>
      </c>
      <c r="AR24" s="112">
        <f t="shared" si="19"/>
        <v>0</v>
      </c>
      <c r="AS24" s="77">
        <f t="shared" si="20"/>
        <v>0</v>
      </c>
      <c r="AT24" s="77">
        <f t="shared" si="21"/>
        <v>0</v>
      </c>
      <c r="AU24" s="112">
        <f t="shared" si="22"/>
        <v>0</v>
      </c>
      <c r="AV24" s="77">
        <f t="shared" si="23"/>
        <v>0</v>
      </c>
      <c r="AW24" s="77">
        <f t="shared" si="24"/>
        <v>0</v>
      </c>
      <c r="AX24" s="112">
        <f t="shared" si="25"/>
        <v>0</v>
      </c>
      <c r="AY24" s="114">
        <f>IF(作業時間報告書!G24=作業時間報告書!$AY$9,作業時間報告書!$X$4,0)</f>
        <v>0</v>
      </c>
      <c r="AZ24" s="115">
        <f>IF(ISNUMBER(作業時間報告書!I24),作業時間報告書!I24,0)*24*60</f>
        <v>0</v>
      </c>
      <c r="BA24" s="115">
        <f>作業時間報告書!H24*24*60</f>
        <v>0</v>
      </c>
      <c r="BB24" s="115">
        <f t="shared" si="26"/>
        <v>0</v>
      </c>
      <c r="BC24" s="116">
        <f t="shared" si="27"/>
        <v>0</v>
      </c>
      <c r="BD24" s="111">
        <f t="shared" si="46"/>
        <v>0</v>
      </c>
      <c r="BE24" s="117">
        <f t="shared" si="28"/>
        <v>0</v>
      </c>
      <c r="BF24" s="117">
        <f t="shared" si="29"/>
        <v>0</v>
      </c>
      <c r="BG24" s="118">
        <f>SUM(BD$10:BD24)</f>
        <v>0</v>
      </c>
      <c r="BH24" s="119">
        <f>SUM(BE$10:BE24)</f>
        <v>0</v>
      </c>
      <c r="BI24" s="120">
        <f>IF(作業時間報告書!U24=1,作業時間報告書!$X$4,0)</f>
        <v>450</v>
      </c>
      <c r="BJ24" s="117">
        <f t="shared" si="30"/>
        <v>0.3125</v>
      </c>
      <c r="BK24" s="120">
        <f>SUM(BI$10:BI24)</f>
        <v>4950</v>
      </c>
      <c r="BL24" s="119">
        <f>SUM(BJ$10:BJ24)</f>
        <v>3.4375</v>
      </c>
      <c r="BM24" s="120">
        <f t="shared" si="31"/>
        <v>-450</v>
      </c>
      <c r="BN24" s="121" t="str">
        <f t="shared" si="32"/>
        <v>-</v>
      </c>
      <c r="BO24" s="119">
        <f t="shared" si="47"/>
        <v>-0.3125</v>
      </c>
      <c r="BP24" s="120">
        <f>SUM(BM$10:BM24)</f>
        <v>-4950</v>
      </c>
      <c r="BQ24" s="121" t="str">
        <f t="shared" si="33"/>
        <v>-</v>
      </c>
      <c r="BR24" s="122">
        <f t="shared" si="34"/>
        <v>4950</v>
      </c>
      <c r="BS24" s="299" t="str">
        <f>IF(SUM($BO$10:BO24)&lt;0,TEXT(ABS(SUM($BO$10:BO24)),"-[h]:mm"),SUM($BO$10:BO24))</f>
        <v>-82:30</v>
      </c>
      <c r="BT24" s="124"/>
      <c r="BU24" s="123">
        <f t="shared" si="48"/>
        <v>0</v>
      </c>
      <c r="BV24" s="123">
        <f t="shared" si="51"/>
        <v>0</v>
      </c>
      <c r="BW24" s="123">
        <f t="shared" si="35"/>
        <v>0</v>
      </c>
      <c r="BX24" s="123">
        <f t="shared" si="36"/>
        <v>0</v>
      </c>
      <c r="BY24" s="123">
        <f t="shared" si="37"/>
        <v>0</v>
      </c>
      <c r="BZ24" s="123">
        <f t="shared" si="38"/>
        <v>0</v>
      </c>
      <c r="CA24" s="123">
        <f t="shared" si="39"/>
        <v>0</v>
      </c>
      <c r="CB24" s="123">
        <f t="shared" si="40"/>
        <v>0</v>
      </c>
      <c r="CC24" s="123">
        <f t="shared" si="49"/>
        <v>0</v>
      </c>
      <c r="CD24" s="74"/>
      <c r="CE24" s="123">
        <f t="shared" si="41"/>
        <v>0</v>
      </c>
      <c r="CH24" s="295" t="s">
        <v>278</v>
      </c>
      <c r="CI24" s="21">
        <v>15</v>
      </c>
      <c r="CJ24" s="21"/>
      <c r="CK24" s="18"/>
      <c r="CL24" s="14"/>
      <c r="CM24" s="14"/>
      <c r="CN24" s="14"/>
      <c r="CO24" s="14"/>
      <c r="CP24" s="14"/>
      <c r="CQ24" s="14"/>
      <c r="CR24" s="14"/>
      <c r="CS24" s="14"/>
      <c r="CT24" s="14"/>
      <c r="CU24" s="14"/>
      <c r="CV24" s="14"/>
      <c r="CW24" s="14"/>
      <c r="CX24" s="14"/>
      <c r="CY24" s="14"/>
      <c r="CZ24" s="14"/>
      <c r="DA24" s="14"/>
      <c r="DB24" s="14"/>
      <c r="DC24" s="14"/>
      <c r="DD24" s="14"/>
      <c r="DE24" s="14"/>
      <c r="DF24" s="14"/>
    </row>
    <row r="25" spans="1:110" ht="18" customHeight="1">
      <c r="A25" s="488">
        <f t="shared" si="50"/>
        <v>43389</v>
      </c>
      <c r="B25" s="317">
        <f t="shared" si="1"/>
        <v>3</v>
      </c>
      <c r="C25" s="66"/>
      <c r="D25" s="542"/>
      <c r="E25" s="301" t="s">
        <v>540</v>
      </c>
      <c r="F25" s="545"/>
      <c r="G25" s="456"/>
      <c r="H25" s="559"/>
      <c r="I25" s="556"/>
      <c r="J25" s="314">
        <f>IF(A25="","",作業時間報告書!BJ25)</f>
        <v>0.3125</v>
      </c>
      <c r="K25" s="51">
        <f>TIME(0,作業時間報告書!BC25,0)</f>
        <v>0</v>
      </c>
      <c r="L25" s="549">
        <f>IF(A25="","",作業時間報告書!BE25)</f>
        <v>0</v>
      </c>
      <c r="M25" s="552">
        <f>IF(A25="","",作業時間報告書!BH25)</f>
        <v>0</v>
      </c>
      <c r="N25" s="312"/>
      <c r="O25" s="55" t="str">
        <f>IF(A25="","",作業時間報告書!BS25)</f>
        <v>-90:00</v>
      </c>
      <c r="P25" s="708"/>
      <c r="Q25" s="708"/>
      <c r="R25" s="709"/>
      <c r="S25" s="710"/>
      <c r="T25" s="65"/>
      <c r="U25" s="45">
        <f t="shared" si="2"/>
        <v>1</v>
      </c>
      <c r="V25" s="62" t="b">
        <f t="shared" si="42"/>
        <v>0</v>
      </c>
      <c r="W25" s="62"/>
      <c r="X25" s="110">
        <f>作業時間報告書!A25</f>
        <v>43389</v>
      </c>
      <c r="Y25" s="111">
        <f t="shared" si="43"/>
        <v>0</v>
      </c>
      <c r="Z25" s="111">
        <f t="shared" si="3"/>
        <v>0</v>
      </c>
      <c r="AA25" s="111">
        <f t="shared" si="44"/>
        <v>0</v>
      </c>
      <c r="AB25" s="77">
        <f t="shared" si="4"/>
        <v>0</v>
      </c>
      <c r="AC25" s="112">
        <f t="shared" si="5"/>
        <v>0</v>
      </c>
      <c r="AD25" s="111">
        <f t="shared" si="6"/>
        <v>0</v>
      </c>
      <c r="AE25" s="77">
        <f t="shared" si="7"/>
        <v>0</v>
      </c>
      <c r="AF25" s="113">
        <f t="shared" si="8"/>
        <v>0</v>
      </c>
      <c r="AG25" s="77">
        <f t="shared" si="9"/>
        <v>0</v>
      </c>
      <c r="AH25" s="77">
        <f t="shared" si="45"/>
        <v>0</v>
      </c>
      <c r="AI25" s="112">
        <f t="shared" si="10"/>
        <v>0</v>
      </c>
      <c r="AJ25" s="77">
        <f t="shared" si="11"/>
        <v>0</v>
      </c>
      <c r="AK25" s="77">
        <f t="shared" si="12"/>
        <v>0</v>
      </c>
      <c r="AL25" s="112">
        <f t="shared" si="13"/>
        <v>0</v>
      </c>
      <c r="AM25" s="77">
        <f t="shared" si="14"/>
        <v>0</v>
      </c>
      <c r="AN25" s="77">
        <f t="shared" si="15"/>
        <v>0</v>
      </c>
      <c r="AO25" s="112">
        <f t="shared" si="16"/>
        <v>0</v>
      </c>
      <c r="AP25" s="77">
        <f t="shared" si="17"/>
        <v>0</v>
      </c>
      <c r="AQ25" s="77">
        <f t="shared" si="18"/>
        <v>0</v>
      </c>
      <c r="AR25" s="112">
        <f t="shared" si="19"/>
        <v>0</v>
      </c>
      <c r="AS25" s="77">
        <f t="shared" si="20"/>
        <v>0</v>
      </c>
      <c r="AT25" s="77">
        <f t="shared" si="21"/>
        <v>0</v>
      </c>
      <c r="AU25" s="112">
        <f t="shared" si="22"/>
        <v>0</v>
      </c>
      <c r="AV25" s="77">
        <f t="shared" si="23"/>
        <v>0</v>
      </c>
      <c r="AW25" s="77">
        <f t="shared" si="24"/>
        <v>0</v>
      </c>
      <c r="AX25" s="112">
        <f t="shared" si="25"/>
        <v>0</v>
      </c>
      <c r="AY25" s="114">
        <f>IF(作業時間報告書!G25=作業時間報告書!$AY$9,作業時間報告書!$X$4,0)</f>
        <v>0</v>
      </c>
      <c r="AZ25" s="115">
        <f>IF(ISNUMBER(作業時間報告書!I25),作業時間報告書!I25,0)*24*60</f>
        <v>0</v>
      </c>
      <c r="BA25" s="115">
        <f>作業時間報告書!H25*24*60</f>
        <v>0</v>
      </c>
      <c r="BB25" s="115">
        <f t="shared" si="26"/>
        <v>0</v>
      </c>
      <c r="BC25" s="116">
        <f t="shared" si="27"/>
        <v>0</v>
      </c>
      <c r="BD25" s="111">
        <f t="shared" si="46"/>
        <v>0</v>
      </c>
      <c r="BE25" s="117">
        <f t="shared" si="28"/>
        <v>0</v>
      </c>
      <c r="BF25" s="117">
        <f t="shared" si="29"/>
        <v>0</v>
      </c>
      <c r="BG25" s="118">
        <f>SUM(BD$10:BD25)</f>
        <v>0</v>
      </c>
      <c r="BH25" s="119">
        <f>SUM(BE$10:BE25)</f>
        <v>0</v>
      </c>
      <c r="BI25" s="120">
        <f>IF(作業時間報告書!U25=1,作業時間報告書!$X$4,0)</f>
        <v>450</v>
      </c>
      <c r="BJ25" s="117">
        <f t="shared" si="30"/>
        <v>0.3125</v>
      </c>
      <c r="BK25" s="120">
        <f>SUM(BI$10:BI25)</f>
        <v>5400</v>
      </c>
      <c r="BL25" s="119">
        <f>SUM(BJ$10:BJ25)</f>
        <v>3.75</v>
      </c>
      <c r="BM25" s="120">
        <f t="shared" si="31"/>
        <v>-450</v>
      </c>
      <c r="BN25" s="121" t="str">
        <f t="shared" si="32"/>
        <v>-</v>
      </c>
      <c r="BO25" s="119">
        <f t="shared" si="47"/>
        <v>-0.3125</v>
      </c>
      <c r="BP25" s="120">
        <f>SUM(BM$10:BM25)</f>
        <v>-5400</v>
      </c>
      <c r="BQ25" s="121" t="str">
        <f t="shared" si="33"/>
        <v>-</v>
      </c>
      <c r="BR25" s="122">
        <f t="shared" si="34"/>
        <v>5400</v>
      </c>
      <c r="BS25" s="299" t="str">
        <f>IF(SUM($BO$10:BO25)&lt;0,TEXT(ABS(SUM($BO$10:BO25)),"-[h]:mm"),SUM($BO$10:BO25))</f>
        <v>-90:00</v>
      </c>
      <c r="BT25" s="124"/>
      <c r="BU25" s="123">
        <f t="shared" si="48"/>
        <v>0</v>
      </c>
      <c r="BV25" s="123">
        <f t="shared" si="51"/>
        <v>0</v>
      </c>
      <c r="BW25" s="123">
        <f t="shared" si="35"/>
        <v>0</v>
      </c>
      <c r="BX25" s="123">
        <f t="shared" si="36"/>
        <v>0</v>
      </c>
      <c r="BY25" s="123">
        <f t="shared" si="37"/>
        <v>0</v>
      </c>
      <c r="BZ25" s="123">
        <f t="shared" si="38"/>
        <v>0</v>
      </c>
      <c r="CA25" s="123">
        <f t="shared" si="39"/>
        <v>0</v>
      </c>
      <c r="CB25" s="123">
        <f t="shared" si="40"/>
        <v>0</v>
      </c>
      <c r="CC25" s="123">
        <f t="shared" si="49"/>
        <v>0</v>
      </c>
      <c r="CD25" s="74"/>
      <c r="CE25" s="123">
        <f t="shared" si="41"/>
        <v>0</v>
      </c>
      <c r="CH25" s="295" t="s">
        <v>279</v>
      </c>
      <c r="CI25" s="22">
        <v>16</v>
      </c>
      <c r="CJ25" s="22"/>
      <c r="CK25" s="19"/>
      <c r="CL25" s="17"/>
      <c r="CM25" s="17"/>
      <c r="CN25" s="17"/>
      <c r="CO25" s="17"/>
      <c r="CP25" s="17"/>
      <c r="CQ25" s="17"/>
      <c r="CR25" s="17"/>
      <c r="CS25" s="17"/>
      <c r="CT25" s="17"/>
      <c r="CU25" s="17"/>
      <c r="CV25" s="17"/>
      <c r="CW25" s="17"/>
      <c r="CX25" s="17"/>
      <c r="CY25" s="17"/>
      <c r="CZ25" s="17"/>
      <c r="DA25" s="17"/>
      <c r="DB25" s="17"/>
      <c r="DC25" s="17"/>
      <c r="DD25" s="17"/>
      <c r="DE25" s="17"/>
      <c r="DF25" s="17"/>
    </row>
    <row r="26" spans="1:110" ht="18" customHeight="1">
      <c r="A26" s="488">
        <f t="shared" si="50"/>
        <v>43390</v>
      </c>
      <c r="B26" s="317">
        <f t="shared" si="1"/>
        <v>4</v>
      </c>
      <c r="C26" s="66"/>
      <c r="D26" s="542"/>
      <c r="E26" s="301" t="s">
        <v>548</v>
      </c>
      <c r="F26" s="545"/>
      <c r="G26" s="456"/>
      <c r="H26" s="559"/>
      <c r="I26" s="556"/>
      <c r="J26" s="314">
        <f>IF(A26="","",作業時間報告書!BJ26)</f>
        <v>0.3125</v>
      </c>
      <c r="K26" s="51">
        <f>TIME(0,作業時間報告書!BC26,0)</f>
        <v>0</v>
      </c>
      <c r="L26" s="549">
        <f>IF(A26="","",作業時間報告書!BE26)</f>
        <v>0</v>
      </c>
      <c r="M26" s="552">
        <f>IF(A26="","",作業時間報告書!BH26)</f>
        <v>0</v>
      </c>
      <c r="N26" s="312"/>
      <c r="O26" s="55" t="str">
        <f>IF(A26="","",作業時間報告書!BS26)</f>
        <v>-97:30</v>
      </c>
      <c r="P26" s="708"/>
      <c r="Q26" s="708"/>
      <c r="R26" s="709"/>
      <c r="S26" s="710"/>
      <c r="T26" s="65"/>
      <c r="U26" s="45">
        <f t="shared" si="2"/>
        <v>1</v>
      </c>
      <c r="V26" s="62" t="b">
        <f t="shared" si="42"/>
        <v>0</v>
      </c>
      <c r="W26" s="62"/>
      <c r="X26" s="110">
        <f>作業時間報告書!A26</f>
        <v>43390</v>
      </c>
      <c r="Y26" s="111">
        <f t="shared" si="43"/>
        <v>0</v>
      </c>
      <c r="Z26" s="111">
        <f t="shared" si="3"/>
        <v>0</v>
      </c>
      <c r="AA26" s="111">
        <f t="shared" si="44"/>
        <v>0</v>
      </c>
      <c r="AB26" s="77">
        <f t="shared" si="4"/>
        <v>0</v>
      </c>
      <c r="AC26" s="112">
        <f t="shared" si="5"/>
        <v>0</v>
      </c>
      <c r="AD26" s="111">
        <f t="shared" si="6"/>
        <v>0</v>
      </c>
      <c r="AE26" s="77">
        <f t="shared" si="7"/>
        <v>0</v>
      </c>
      <c r="AF26" s="113">
        <f t="shared" si="8"/>
        <v>0</v>
      </c>
      <c r="AG26" s="77">
        <f t="shared" si="9"/>
        <v>0</v>
      </c>
      <c r="AH26" s="77">
        <f t="shared" si="45"/>
        <v>0</v>
      </c>
      <c r="AI26" s="112">
        <f t="shared" si="10"/>
        <v>0</v>
      </c>
      <c r="AJ26" s="77">
        <f t="shared" si="11"/>
        <v>0</v>
      </c>
      <c r="AK26" s="77">
        <f t="shared" si="12"/>
        <v>0</v>
      </c>
      <c r="AL26" s="112">
        <f t="shared" si="13"/>
        <v>0</v>
      </c>
      <c r="AM26" s="77">
        <f t="shared" si="14"/>
        <v>0</v>
      </c>
      <c r="AN26" s="77">
        <f t="shared" si="15"/>
        <v>0</v>
      </c>
      <c r="AO26" s="112">
        <f t="shared" si="16"/>
        <v>0</v>
      </c>
      <c r="AP26" s="77">
        <f t="shared" si="17"/>
        <v>0</v>
      </c>
      <c r="AQ26" s="77">
        <f t="shared" si="18"/>
        <v>0</v>
      </c>
      <c r="AR26" s="112">
        <f t="shared" si="19"/>
        <v>0</v>
      </c>
      <c r="AS26" s="77">
        <f t="shared" si="20"/>
        <v>0</v>
      </c>
      <c r="AT26" s="77">
        <f t="shared" si="21"/>
        <v>0</v>
      </c>
      <c r="AU26" s="112">
        <f t="shared" si="22"/>
        <v>0</v>
      </c>
      <c r="AV26" s="77">
        <f t="shared" si="23"/>
        <v>0</v>
      </c>
      <c r="AW26" s="77">
        <f t="shared" si="24"/>
        <v>0</v>
      </c>
      <c r="AX26" s="112">
        <f t="shared" si="25"/>
        <v>0</v>
      </c>
      <c r="AY26" s="114">
        <f>IF(作業時間報告書!G26=作業時間報告書!$AY$9,作業時間報告書!$X$4,0)</f>
        <v>0</v>
      </c>
      <c r="AZ26" s="115">
        <f>IF(ISNUMBER(作業時間報告書!I26),作業時間報告書!I26,0)*24*60</f>
        <v>0</v>
      </c>
      <c r="BA26" s="115">
        <f>作業時間報告書!H26*24*60</f>
        <v>0</v>
      </c>
      <c r="BB26" s="115">
        <f t="shared" si="26"/>
        <v>0</v>
      </c>
      <c r="BC26" s="116">
        <f t="shared" si="27"/>
        <v>0</v>
      </c>
      <c r="BD26" s="111">
        <f t="shared" si="46"/>
        <v>0</v>
      </c>
      <c r="BE26" s="117">
        <f t="shared" si="28"/>
        <v>0</v>
      </c>
      <c r="BF26" s="117">
        <f t="shared" si="29"/>
        <v>0</v>
      </c>
      <c r="BG26" s="118">
        <f>SUM(BD$10:BD26)</f>
        <v>0</v>
      </c>
      <c r="BH26" s="119">
        <f>SUM(BE$10:BE26)</f>
        <v>0</v>
      </c>
      <c r="BI26" s="120">
        <f>IF(作業時間報告書!U26=1,作業時間報告書!$X$4,0)</f>
        <v>450</v>
      </c>
      <c r="BJ26" s="117">
        <f t="shared" si="30"/>
        <v>0.3125</v>
      </c>
      <c r="BK26" s="120">
        <f>SUM(BI$10:BI26)</f>
        <v>5850</v>
      </c>
      <c r="BL26" s="119">
        <f>SUM(BJ$10:BJ26)</f>
        <v>4.0625</v>
      </c>
      <c r="BM26" s="120">
        <f t="shared" si="31"/>
        <v>-450</v>
      </c>
      <c r="BN26" s="121" t="str">
        <f t="shared" si="32"/>
        <v>-</v>
      </c>
      <c r="BO26" s="119">
        <f t="shared" si="47"/>
        <v>-0.3125</v>
      </c>
      <c r="BP26" s="120">
        <f>SUM(BM$10:BM26)</f>
        <v>-5850</v>
      </c>
      <c r="BQ26" s="121" t="str">
        <f t="shared" si="33"/>
        <v>-</v>
      </c>
      <c r="BR26" s="122">
        <f t="shared" si="34"/>
        <v>5850</v>
      </c>
      <c r="BS26" s="299" t="str">
        <f>IF(SUM($BO$10:BO26)&lt;0,TEXT(ABS(SUM($BO$10:BO26)),"-[h]:mm"),SUM($BO$10:BO26))</f>
        <v>-97:30</v>
      </c>
      <c r="BT26" s="124"/>
      <c r="BU26" s="123">
        <f t="shared" si="48"/>
        <v>0</v>
      </c>
      <c r="BV26" s="123">
        <f t="shared" si="51"/>
        <v>0</v>
      </c>
      <c r="BW26" s="123">
        <f t="shared" si="35"/>
        <v>0</v>
      </c>
      <c r="BX26" s="123">
        <f t="shared" si="36"/>
        <v>0</v>
      </c>
      <c r="BY26" s="123">
        <f t="shared" si="37"/>
        <v>0</v>
      </c>
      <c r="BZ26" s="123">
        <f t="shared" si="38"/>
        <v>0</v>
      </c>
      <c r="CA26" s="123">
        <f t="shared" si="39"/>
        <v>0</v>
      </c>
      <c r="CB26" s="123">
        <f t="shared" si="40"/>
        <v>0</v>
      </c>
      <c r="CC26" s="123">
        <f t="shared" si="49"/>
        <v>0</v>
      </c>
      <c r="CD26" s="74"/>
      <c r="CE26" s="123">
        <f t="shared" si="41"/>
        <v>0</v>
      </c>
      <c r="CH26" s="295" t="s">
        <v>280</v>
      </c>
      <c r="CI26" s="21">
        <v>17</v>
      </c>
      <c r="CJ26" s="21"/>
      <c r="CK26" s="18"/>
      <c r="CL26" s="14"/>
      <c r="CM26" s="14"/>
      <c r="CN26" s="14"/>
      <c r="CO26" s="14"/>
      <c r="CP26" s="14"/>
      <c r="CQ26" s="14"/>
      <c r="CR26" s="14"/>
      <c r="CS26" s="14"/>
      <c r="CT26" s="14"/>
      <c r="CU26" s="14"/>
      <c r="CV26" s="14"/>
      <c r="CW26" s="14"/>
      <c r="CX26" s="14"/>
      <c r="CY26" s="14"/>
      <c r="CZ26" s="14"/>
      <c r="DA26" s="14"/>
      <c r="DB26" s="14"/>
      <c r="DC26" s="14"/>
      <c r="DD26" s="14"/>
      <c r="DE26" s="14"/>
      <c r="DF26" s="14"/>
    </row>
    <row r="27" spans="1:110" ht="18" customHeight="1">
      <c r="A27" s="488">
        <f t="shared" si="50"/>
        <v>43391</v>
      </c>
      <c r="B27" s="317">
        <f t="shared" si="1"/>
        <v>5</v>
      </c>
      <c r="C27" s="66"/>
      <c r="D27" s="542"/>
      <c r="E27" s="301" t="s">
        <v>538</v>
      </c>
      <c r="F27" s="546"/>
      <c r="G27" s="456"/>
      <c r="H27" s="559"/>
      <c r="I27" s="556"/>
      <c r="J27" s="314">
        <f>IF(A27="","",作業時間報告書!BJ27)</f>
        <v>0.3125</v>
      </c>
      <c r="K27" s="51">
        <f>TIME(0,作業時間報告書!BC27,0)</f>
        <v>0</v>
      </c>
      <c r="L27" s="549">
        <f>IF(A27="","",作業時間報告書!BE27)</f>
        <v>0</v>
      </c>
      <c r="M27" s="552">
        <f>IF(A27="","",作業時間報告書!BH27)</f>
        <v>0</v>
      </c>
      <c r="N27" s="312"/>
      <c r="O27" s="55" t="str">
        <f>IF(A27="","",作業時間報告書!BS27)</f>
        <v>-105:00</v>
      </c>
      <c r="P27" s="708"/>
      <c r="Q27" s="708"/>
      <c r="R27" s="709"/>
      <c r="S27" s="710"/>
      <c r="T27" s="65"/>
      <c r="U27" s="45">
        <f t="shared" si="2"/>
        <v>1</v>
      </c>
      <c r="V27" s="62" t="b">
        <f t="shared" si="42"/>
        <v>0</v>
      </c>
      <c r="W27" s="62"/>
      <c r="X27" s="110">
        <f>作業時間報告書!A27</f>
        <v>43391</v>
      </c>
      <c r="Y27" s="111">
        <f t="shared" si="43"/>
        <v>0</v>
      </c>
      <c r="Z27" s="111">
        <f t="shared" si="3"/>
        <v>0</v>
      </c>
      <c r="AA27" s="111">
        <f t="shared" si="44"/>
        <v>0</v>
      </c>
      <c r="AB27" s="77">
        <f t="shared" si="4"/>
        <v>0</v>
      </c>
      <c r="AC27" s="112">
        <f t="shared" si="5"/>
        <v>0</v>
      </c>
      <c r="AD27" s="111">
        <f t="shared" si="6"/>
        <v>0</v>
      </c>
      <c r="AE27" s="77">
        <f t="shared" si="7"/>
        <v>0</v>
      </c>
      <c r="AF27" s="113">
        <f t="shared" si="8"/>
        <v>0</v>
      </c>
      <c r="AG27" s="77">
        <f t="shared" si="9"/>
        <v>0</v>
      </c>
      <c r="AH27" s="77">
        <f t="shared" si="45"/>
        <v>0</v>
      </c>
      <c r="AI27" s="112">
        <f t="shared" si="10"/>
        <v>0</v>
      </c>
      <c r="AJ27" s="77">
        <f t="shared" si="11"/>
        <v>0</v>
      </c>
      <c r="AK27" s="77">
        <f t="shared" si="12"/>
        <v>0</v>
      </c>
      <c r="AL27" s="112">
        <f t="shared" si="13"/>
        <v>0</v>
      </c>
      <c r="AM27" s="77">
        <f t="shared" si="14"/>
        <v>0</v>
      </c>
      <c r="AN27" s="77">
        <f t="shared" si="15"/>
        <v>0</v>
      </c>
      <c r="AO27" s="112">
        <f t="shared" si="16"/>
        <v>0</v>
      </c>
      <c r="AP27" s="77">
        <f t="shared" si="17"/>
        <v>0</v>
      </c>
      <c r="AQ27" s="77">
        <f t="shared" si="18"/>
        <v>0</v>
      </c>
      <c r="AR27" s="112">
        <f t="shared" si="19"/>
        <v>0</v>
      </c>
      <c r="AS27" s="77">
        <f t="shared" si="20"/>
        <v>0</v>
      </c>
      <c r="AT27" s="77">
        <f t="shared" si="21"/>
        <v>0</v>
      </c>
      <c r="AU27" s="112">
        <f t="shared" si="22"/>
        <v>0</v>
      </c>
      <c r="AV27" s="77">
        <f t="shared" si="23"/>
        <v>0</v>
      </c>
      <c r="AW27" s="77">
        <f t="shared" si="24"/>
        <v>0</v>
      </c>
      <c r="AX27" s="112">
        <f t="shared" si="25"/>
        <v>0</v>
      </c>
      <c r="AY27" s="114">
        <f>IF(作業時間報告書!G27=作業時間報告書!$AY$9,作業時間報告書!$X$4,0)</f>
        <v>0</v>
      </c>
      <c r="AZ27" s="115">
        <f>IF(ISNUMBER(作業時間報告書!I27),作業時間報告書!I27,0)*24*60</f>
        <v>0</v>
      </c>
      <c r="BA27" s="115">
        <f>作業時間報告書!H27*24*60</f>
        <v>0</v>
      </c>
      <c r="BB27" s="115">
        <f t="shared" si="26"/>
        <v>0</v>
      </c>
      <c r="BC27" s="116">
        <f t="shared" si="27"/>
        <v>0</v>
      </c>
      <c r="BD27" s="111">
        <f t="shared" si="46"/>
        <v>0</v>
      </c>
      <c r="BE27" s="117">
        <f t="shared" si="28"/>
        <v>0</v>
      </c>
      <c r="BF27" s="117">
        <f t="shared" si="29"/>
        <v>0</v>
      </c>
      <c r="BG27" s="118">
        <f>SUM(BD$10:BD27)</f>
        <v>0</v>
      </c>
      <c r="BH27" s="119">
        <f>SUM(BE$10:BE27)</f>
        <v>0</v>
      </c>
      <c r="BI27" s="120">
        <f>IF(作業時間報告書!U27=1,作業時間報告書!$X$4,0)</f>
        <v>450</v>
      </c>
      <c r="BJ27" s="117">
        <f t="shared" si="30"/>
        <v>0.3125</v>
      </c>
      <c r="BK27" s="120">
        <f>SUM(BI$10:BI27)</f>
        <v>6300</v>
      </c>
      <c r="BL27" s="119">
        <f>SUM(BJ$10:BJ27)</f>
        <v>4.375</v>
      </c>
      <c r="BM27" s="120">
        <f t="shared" si="31"/>
        <v>-450</v>
      </c>
      <c r="BN27" s="121" t="str">
        <f t="shared" si="32"/>
        <v>-</v>
      </c>
      <c r="BO27" s="119">
        <f t="shared" si="47"/>
        <v>-0.3125</v>
      </c>
      <c r="BP27" s="120">
        <f>SUM(BM$10:BM27)</f>
        <v>-6300</v>
      </c>
      <c r="BQ27" s="121" t="str">
        <f t="shared" si="33"/>
        <v>-</v>
      </c>
      <c r="BR27" s="122">
        <f t="shared" si="34"/>
        <v>6300</v>
      </c>
      <c r="BS27" s="299" t="str">
        <f>IF(SUM($BO$10:BO27)&lt;0,TEXT(ABS(SUM($BO$10:BO27)),"-[h]:mm"),SUM($BO$10:BO27))</f>
        <v>-105:00</v>
      </c>
      <c r="BT27" s="124"/>
      <c r="BU27" s="123">
        <f t="shared" si="48"/>
        <v>0</v>
      </c>
      <c r="BV27" s="123">
        <f t="shared" si="51"/>
        <v>0</v>
      </c>
      <c r="BW27" s="123">
        <f t="shared" si="35"/>
        <v>0</v>
      </c>
      <c r="BX27" s="123">
        <f t="shared" si="36"/>
        <v>0</v>
      </c>
      <c r="BY27" s="123">
        <f t="shared" si="37"/>
        <v>0</v>
      </c>
      <c r="BZ27" s="123">
        <f t="shared" si="38"/>
        <v>0</v>
      </c>
      <c r="CA27" s="123">
        <f t="shared" si="39"/>
        <v>0</v>
      </c>
      <c r="CB27" s="123">
        <f t="shared" si="40"/>
        <v>0</v>
      </c>
      <c r="CC27" s="123">
        <f t="shared" si="49"/>
        <v>0</v>
      </c>
      <c r="CD27" s="74"/>
      <c r="CE27" s="123">
        <f t="shared" si="41"/>
        <v>0</v>
      </c>
      <c r="CH27" s="295" t="s">
        <v>281</v>
      </c>
      <c r="CI27" s="22">
        <v>18</v>
      </c>
      <c r="CJ27" s="22"/>
      <c r="CK27" s="16"/>
      <c r="CL27" s="17"/>
      <c r="CM27" s="17"/>
      <c r="CN27" s="17"/>
      <c r="CO27" s="17"/>
      <c r="CP27" s="17"/>
      <c r="CQ27" s="17"/>
      <c r="CR27" s="17"/>
      <c r="CS27" s="17"/>
      <c r="CT27" s="17"/>
      <c r="CU27" s="17"/>
      <c r="CV27" s="17"/>
      <c r="CW27" s="17"/>
      <c r="CX27" s="17"/>
      <c r="CY27" s="17"/>
      <c r="CZ27" s="17"/>
      <c r="DA27" s="17"/>
      <c r="DB27" s="17"/>
      <c r="DC27" s="17"/>
      <c r="DD27" s="17"/>
      <c r="DE27" s="17"/>
      <c r="DF27" s="17"/>
    </row>
    <row r="28" spans="1:110" ht="18" customHeight="1">
      <c r="A28" s="488">
        <f t="shared" si="50"/>
        <v>43392</v>
      </c>
      <c r="B28" s="317">
        <f t="shared" si="1"/>
        <v>6</v>
      </c>
      <c r="C28" s="66"/>
      <c r="D28" s="542"/>
      <c r="E28" s="301" t="s">
        <v>549</v>
      </c>
      <c r="F28" s="546"/>
      <c r="G28" s="456"/>
      <c r="H28" s="559"/>
      <c r="I28" s="556"/>
      <c r="J28" s="314">
        <f>IF(A28="","",作業時間報告書!BJ28)</f>
        <v>0.3125</v>
      </c>
      <c r="K28" s="51">
        <f>TIME(0,作業時間報告書!BC28,0)</f>
        <v>0</v>
      </c>
      <c r="L28" s="549">
        <f>IF(A28="","",作業時間報告書!BE28)</f>
        <v>0</v>
      </c>
      <c r="M28" s="552">
        <f>IF(A28="","",作業時間報告書!BH28)</f>
        <v>0</v>
      </c>
      <c r="N28" s="312"/>
      <c r="O28" s="55" t="str">
        <f>IF(A28="","",作業時間報告書!BS28)</f>
        <v>-112:30</v>
      </c>
      <c r="P28" s="708"/>
      <c r="Q28" s="708"/>
      <c r="R28" s="709"/>
      <c r="S28" s="710"/>
      <c r="T28" s="65"/>
      <c r="U28" s="45">
        <f t="shared" si="2"/>
        <v>1</v>
      </c>
      <c r="V28" s="62" t="b">
        <f t="shared" si="42"/>
        <v>0</v>
      </c>
      <c r="W28" s="62"/>
      <c r="X28" s="110">
        <f>作業時間報告書!A28</f>
        <v>43392</v>
      </c>
      <c r="Y28" s="111">
        <f t="shared" si="43"/>
        <v>0</v>
      </c>
      <c r="Z28" s="111">
        <f t="shared" si="3"/>
        <v>0</v>
      </c>
      <c r="AA28" s="111">
        <f t="shared" si="44"/>
        <v>0</v>
      </c>
      <c r="AB28" s="77">
        <f t="shared" si="4"/>
        <v>0</v>
      </c>
      <c r="AC28" s="112">
        <f t="shared" si="5"/>
        <v>0</v>
      </c>
      <c r="AD28" s="111">
        <f t="shared" si="6"/>
        <v>0</v>
      </c>
      <c r="AE28" s="77">
        <f t="shared" si="7"/>
        <v>0</v>
      </c>
      <c r="AF28" s="113">
        <f t="shared" si="8"/>
        <v>0</v>
      </c>
      <c r="AG28" s="77">
        <f t="shared" si="9"/>
        <v>0</v>
      </c>
      <c r="AH28" s="77">
        <f t="shared" si="45"/>
        <v>0</v>
      </c>
      <c r="AI28" s="112">
        <f t="shared" si="10"/>
        <v>0</v>
      </c>
      <c r="AJ28" s="77">
        <f t="shared" si="11"/>
        <v>0</v>
      </c>
      <c r="AK28" s="77">
        <f t="shared" si="12"/>
        <v>0</v>
      </c>
      <c r="AL28" s="112">
        <f t="shared" si="13"/>
        <v>0</v>
      </c>
      <c r="AM28" s="77">
        <f t="shared" si="14"/>
        <v>0</v>
      </c>
      <c r="AN28" s="77">
        <f t="shared" si="15"/>
        <v>0</v>
      </c>
      <c r="AO28" s="112">
        <f t="shared" si="16"/>
        <v>0</v>
      </c>
      <c r="AP28" s="77">
        <f t="shared" si="17"/>
        <v>0</v>
      </c>
      <c r="AQ28" s="77">
        <f t="shared" si="18"/>
        <v>0</v>
      </c>
      <c r="AR28" s="112">
        <f t="shared" si="19"/>
        <v>0</v>
      </c>
      <c r="AS28" s="77">
        <f t="shared" si="20"/>
        <v>0</v>
      </c>
      <c r="AT28" s="77">
        <f t="shared" si="21"/>
        <v>0</v>
      </c>
      <c r="AU28" s="112">
        <f t="shared" si="22"/>
        <v>0</v>
      </c>
      <c r="AV28" s="77">
        <f t="shared" si="23"/>
        <v>0</v>
      </c>
      <c r="AW28" s="77">
        <f t="shared" si="24"/>
        <v>0</v>
      </c>
      <c r="AX28" s="112">
        <f t="shared" si="25"/>
        <v>0</v>
      </c>
      <c r="AY28" s="114">
        <f>IF(作業時間報告書!G28=作業時間報告書!$AY$9,作業時間報告書!$X$4,0)</f>
        <v>0</v>
      </c>
      <c r="AZ28" s="115">
        <f>IF(ISNUMBER(作業時間報告書!I28),作業時間報告書!I28,0)*24*60</f>
        <v>0</v>
      </c>
      <c r="BA28" s="115">
        <f>作業時間報告書!H28*24*60</f>
        <v>0</v>
      </c>
      <c r="BB28" s="115">
        <f t="shared" si="26"/>
        <v>0</v>
      </c>
      <c r="BC28" s="116">
        <f t="shared" si="27"/>
        <v>0</v>
      </c>
      <c r="BD28" s="111">
        <f t="shared" si="46"/>
        <v>0</v>
      </c>
      <c r="BE28" s="117">
        <f t="shared" si="28"/>
        <v>0</v>
      </c>
      <c r="BF28" s="117">
        <f t="shared" si="29"/>
        <v>0</v>
      </c>
      <c r="BG28" s="118">
        <f>SUM(BD$10:BD28)</f>
        <v>0</v>
      </c>
      <c r="BH28" s="119">
        <f>SUM(BE$10:BE28)</f>
        <v>0</v>
      </c>
      <c r="BI28" s="120">
        <f>IF(作業時間報告書!U28=1,作業時間報告書!$X$4,0)</f>
        <v>450</v>
      </c>
      <c r="BJ28" s="117">
        <f t="shared" si="30"/>
        <v>0.3125</v>
      </c>
      <c r="BK28" s="120">
        <f>SUM(BI$10:BI28)</f>
        <v>6750</v>
      </c>
      <c r="BL28" s="119">
        <f>SUM(BJ$10:BJ28)</f>
        <v>4.6875</v>
      </c>
      <c r="BM28" s="120">
        <f t="shared" si="31"/>
        <v>-450</v>
      </c>
      <c r="BN28" s="121" t="str">
        <f t="shared" si="32"/>
        <v>-</v>
      </c>
      <c r="BO28" s="119">
        <f t="shared" si="47"/>
        <v>-0.3125</v>
      </c>
      <c r="BP28" s="120">
        <f>SUM(BM$10:BM28)</f>
        <v>-6750</v>
      </c>
      <c r="BQ28" s="121" t="str">
        <f t="shared" si="33"/>
        <v>-</v>
      </c>
      <c r="BR28" s="122">
        <f t="shared" si="34"/>
        <v>6750</v>
      </c>
      <c r="BS28" s="299" t="str">
        <f>IF(SUM($BO$10:BO28)&lt;0,TEXT(ABS(SUM($BO$10:BO28)),"-[h]:mm"),SUM($BO$10:BO28))</f>
        <v>-112:30</v>
      </c>
      <c r="BT28" s="124"/>
      <c r="BU28" s="123">
        <f t="shared" si="48"/>
        <v>0</v>
      </c>
      <c r="BV28" s="123">
        <f t="shared" si="51"/>
        <v>0</v>
      </c>
      <c r="BW28" s="123">
        <f t="shared" si="35"/>
        <v>0</v>
      </c>
      <c r="BX28" s="123">
        <f t="shared" si="36"/>
        <v>0</v>
      </c>
      <c r="BY28" s="123">
        <f t="shared" si="37"/>
        <v>0</v>
      </c>
      <c r="BZ28" s="123">
        <f t="shared" si="38"/>
        <v>0</v>
      </c>
      <c r="CA28" s="123">
        <f t="shared" si="39"/>
        <v>0</v>
      </c>
      <c r="CB28" s="123">
        <f t="shared" si="40"/>
        <v>0</v>
      </c>
      <c r="CC28" s="123">
        <f t="shared" si="49"/>
        <v>0</v>
      </c>
      <c r="CD28" s="74"/>
      <c r="CE28" s="123">
        <f t="shared" si="41"/>
        <v>0</v>
      </c>
      <c r="CH28" s="295" t="s">
        <v>282</v>
      </c>
      <c r="CI28" s="21">
        <v>19</v>
      </c>
      <c r="CJ28" s="21"/>
      <c r="CK28" s="13"/>
      <c r="CL28" s="23"/>
      <c r="CM28" s="14"/>
      <c r="CN28" s="23"/>
      <c r="CO28" s="23"/>
      <c r="CP28" s="23"/>
      <c r="CQ28" s="23"/>
      <c r="CR28" s="23"/>
      <c r="CS28" s="14"/>
      <c r="CT28" s="14"/>
      <c r="CU28" s="14"/>
      <c r="CV28" s="14"/>
      <c r="CW28" s="14"/>
      <c r="CX28" s="14"/>
      <c r="CY28" s="14"/>
      <c r="CZ28" s="14"/>
      <c r="DA28" s="14"/>
      <c r="DB28" s="14"/>
      <c r="DC28" s="14"/>
      <c r="DD28" s="14"/>
      <c r="DE28" s="14"/>
      <c r="DF28" s="14"/>
    </row>
    <row r="29" spans="1:110" ht="18" customHeight="1">
      <c r="A29" s="488">
        <f t="shared" si="50"/>
        <v>43393</v>
      </c>
      <c r="B29" s="317">
        <f t="shared" si="1"/>
        <v>7</v>
      </c>
      <c r="C29" s="66"/>
      <c r="D29" s="542"/>
      <c r="E29" s="469" t="str">
        <f t="shared" ref="E29:E39" si="52">IF(A29="","","～")</f>
        <v>～</v>
      </c>
      <c r="F29" s="545"/>
      <c r="G29" s="456"/>
      <c r="H29" s="559"/>
      <c r="I29" s="556"/>
      <c r="J29" s="314">
        <f>IF(A29="","",作業時間報告書!BJ29)</f>
        <v>0</v>
      </c>
      <c r="K29" s="51">
        <f>TIME(0,作業時間報告書!BC29,0)</f>
        <v>0</v>
      </c>
      <c r="L29" s="549">
        <f>IF(A29="","",作業時間報告書!BE29)</f>
        <v>0</v>
      </c>
      <c r="M29" s="552">
        <f>IF(A29="","",作業時間報告書!BH29)</f>
        <v>0</v>
      </c>
      <c r="N29" s="312"/>
      <c r="O29" s="55" t="str">
        <f>IF(A29="","",作業時間報告書!BS29)</f>
        <v>-112:30</v>
      </c>
      <c r="P29" s="708"/>
      <c r="Q29" s="708"/>
      <c r="R29" s="709"/>
      <c r="S29" s="710"/>
      <c r="T29" s="65"/>
      <c r="U29" s="45">
        <f t="shared" si="2"/>
        <v>0</v>
      </c>
      <c r="V29" s="62" t="b">
        <f t="shared" si="42"/>
        <v>0</v>
      </c>
      <c r="W29" s="62"/>
      <c r="X29" s="110">
        <f>作業時間報告書!A29</f>
        <v>43393</v>
      </c>
      <c r="Y29" s="111">
        <f t="shared" si="43"/>
        <v>0</v>
      </c>
      <c r="Z29" s="111">
        <f t="shared" si="3"/>
        <v>0</v>
      </c>
      <c r="AA29" s="111">
        <f t="shared" si="44"/>
        <v>0</v>
      </c>
      <c r="AB29" s="77">
        <f t="shared" si="4"/>
        <v>0</v>
      </c>
      <c r="AC29" s="112">
        <f t="shared" si="5"/>
        <v>0</v>
      </c>
      <c r="AD29" s="111">
        <f t="shared" si="6"/>
        <v>0</v>
      </c>
      <c r="AE29" s="77">
        <f t="shared" si="7"/>
        <v>0</v>
      </c>
      <c r="AF29" s="113">
        <f t="shared" si="8"/>
        <v>0</v>
      </c>
      <c r="AG29" s="77">
        <f t="shared" si="9"/>
        <v>0</v>
      </c>
      <c r="AH29" s="77">
        <f t="shared" si="45"/>
        <v>0</v>
      </c>
      <c r="AI29" s="112">
        <f t="shared" si="10"/>
        <v>0</v>
      </c>
      <c r="AJ29" s="77">
        <f t="shared" si="11"/>
        <v>0</v>
      </c>
      <c r="AK29" s="77">
        <f t="shared" si="12"/>
        <v>0</v>
      </c>
      <c r="AL29" s="112">
        <f t="shared" si="13"/>
        <v>0</v>
      </c>
      <c r="AM29" s="77">
        <f t="shared" si="14"/>
        <v>0</v>
      </c>
      <c r="AN29" s="77">
        <f t="shared" si="15"/>
        <v>0</v>
      </c>
      <c r="AO29" s="112">
        <f t="shared" si="16"/>
        <v>0</v>
      </c>
      <c r="AP29" s="77">
        <f t="shared" si="17"/>
        <v>0</v>
      </c>
      <c r="AQ29" s="77">
        <f t="shared" si="18"/>
        <v>0</v>
      </c>
      <c r="AR29" s="112">
        <f t="shared" si="19"/>
        <v>0</v>
      </c>
      <c r="AS29" s="77">
        <f t="shared" si="20"/>
        <v>0</v>
      </c>
      <c r="AT29" s="77">
        <f t="shared" si="21"/>
        <v>0</v>
      </c>
      <c r="AU29" s="112">
        <f t="shared" si="22"/>
        <v>0</v>
      </c>
      <c r="AV29" s="77">
        <f t="shared" si="23"/>
        <v>0</v>
      </c>
      <c r="AW29" s="77">
        <f t="shared" si="24"/>
        <v>0</v>
      </c>
      <c r="AX29" s="112">
        <f t="shared" si="25"/>
        <v>0</v>
      </c>
      <c r="AY29" s="114">
        <f>IF(作業時間報告書!G29=作業時間報告書!$AY$9,作業時間報告書!$X$4,0)</f>
        <v>0</v>
      </c>
      <c r="AZ29" s="115">
        <f>IF(ISNUMBER(作業時間報告書!I29),作業時間報告書!I29,0)*24*60</f>
        <v>0</v>
      </c>
      <c r="BA29" s="115">
        <f>作業時間報告書!H29*24*60</f>
        <v>0</v>
      </c>
      <c r="BB29" s="115">
        <f t="shared" si="26"/>
        <v>0</v>
      </c>
      <c r="BC29" s="116">
        <f t="shared" si="27"/>
        <v>0</v>
      </c>
      <c r="BD29" s="111">
        <f t="shared" si="46"/>
        <v>0</v>
      </c>
      <c r="BE29" s="117">
        <f t="shared" si="28"/>
        <v>0</v>
      </c>
      <c r="BF29" s="117">
        <f t="shared" si="29"/>
        <v>0</v>
      </c>
      <c r="BG29" s="118">
        <f>SUM(BD$10:BD29)</f>
        <v>0</v>
      </c>
      <c r="BH29" s="119">
        <f>SUM(BE$10:BE29)</f>
        <v>0</v>
      </c>
      <c r="BI29" s="120">
        <f>IF(作業時間報告書!U29=1,作業時間報告書!$X$4,0)</f>
        <v>0</v>
      </c>
      <c r="BJ29" s="117">
        <f t="shared" si="30"/>
        <v>0</v>
      </c>
      <c r="BK29" s="120">
        <f>SUM(BI$10:BI29)</f>
        <v>6750</v>
      </c>
      <c r="BL29" s="119">
        <f>SUM(BJ$10:BJ29)</f>
        <v>4.6875</v>
      </c>
      <c r="BM29" s="120">
        <f t="shared" si="31"/>
        <v>0</v>
      </c>
      <c r="BN29" s="121" t="str">
        <f t="shared" si="32"/>
        <v/>
      </c>
      <c r="BO29" s="119">
        <f t="shared" si="47"/>
        <v>0</v>
      </c>
      <c r="BP29" s="120">
        <f>SUM(BM$10:BM29)</f>
        <v>-6750</v>
      </c>
      <c r="BQ29" s="121" t="str">
        <f t="shared" si="33"/>
        <v>-</v>
      </c>
      <c r="BR29" s="122">
        <f t="shared" si="34"/>
        <v>6750</v>
      </c>
      <c r="BS29" s="299" t="str">
        <f>IF(SUM($BO$10:BO29)&lt;0,TEXT(ABS(SUM($BO$10:BO29)),"-[h]:mm"),SUM($BO$10:BO29))</f>
        <v>-112:30</v>
      </c>
      <c r="BT29" s="124"/>
      <c r="BU29" s="123">
        <f t="shared" si="48"/>
        <v>0</v>
      </c>
      <c r="BV29" s="123">
        <f t="shared" si="51"/>
        <v>0</v>
      </c>
      <c r="BW29" s="123">
        <f t="shared" si="35"/>
        <v>0</v>
      </c>
      <c r="BX29" s="123">
        <f t="shared" si="36"/>
        <v>0</v>
      </c>
      <c r="BY29" s="123">
        <f t="shared" si="37"/>
        <v>0</v>
      </c>
      <c r="BZ29" s="123">
        <f t="shared" si="38"/>
        <v>0</v>
      </c>
      <c r="CA29" s="123">
        <f t="shared" si="39"/>
        <v>0</v>
      </c>
      <c r="CB29" s="123">
        <f t="shared" si="40"/>
        <v>0</v>
      </c>
      <c r="CC29" s="123">
        <f t="shared" si="49"/>
        <v>0</v>
      </c>
      <c r="CD29" s="74"/>
      <c r="CE29" s="123">
        <f t="shared" si="41"/>
        <v>0</v>
      </c>
      <c r="CH29" s="295" t="s">
        <v>283</v>
      </c>
      <c r="CI29" s="22">
        <v>20</v>
      </c>
      <c r="CJ29" s="22"/>
      <c r="CK29" s="16"/>
      <c r="CL29" s="24"/>
      <c r="CM29" s="17"/>
      <c r="CN29" s="24"/>
      <c r="CO29" s="24"/>
      <c r="CP29" s="24"/>
      <c r="CQ29" s="24"/>
      <c r="CR29" s="24"/>
      <c r="CS29" s="17"/>
      <c r="CT29" s="17"/>
      <c r="CU29" s="17"/>
      <c r="CV29" s="17"/>
      <c r="CW29" s="17"/>
      <c r="CX29" s="17"/>
      <c r="CY29" s="17"/>
      <c r="CZ29" s="17"/>
      <c r="DA29" s="17"/>
      <c r="DB29" s="17"/>
      <c r="DC29" s="17"/>
      <c r="DD29" s="17"/>
      <c r="DE29" s="17"/>
      <c r="DF29" s="17"/>
    </row>
    <row r="30" spans="1:110" ht="18" customHeight="1">
      <c r="A30" s="488">
        <f t="shared" si="50"/>
        <v>43394</v>
      </c>
      <c r="B30" s="317">
        <f t="shared" si="1"/>
        <v>1</v>
      </c>
      <c r="C30" s="66"/>
      <c r="D30" s="542"/>
      <c r="E30" s="469" t="str">
        <f t="shared" si="52"/>
        <v>～</v>
      </c>
      <c r="F30" s="545"/>
      <c r="G30" s="456"/>
      <c r="H30" s="559"/>
      <c r="I30" s="556"/>
      <c r="J30" s="314">
        <f>IF(A30="","",作業時間報告書!BJ30)</f>
        <v>0</v>
      </c>
      <c r="K30" s="51">
        <f>TIME(0,作業時間報告書!BC30,0)</f>
        <v>0</v>
      </c>
      <c r="L30" s="549">
        <f>IF(A30="","",作業時間報告書!BE30)</f>
        <v>0</v>
      </c>
      <c r="M30" s="552">
        <f>IF(A30="","",作業時間報告書!BH30)</f>
        <v>0</v>
      </c>
      <c r="N30" s="312"/>
      <c r="O30" s="55" t="str">
        <f>IF(A30="","",作業時間報告書!BS30)</f>
        <v>-112:30</v>
      </c>
      <c r="P30" s="708"/>
      <c r="Q30" s="708"/>
      <c r="R30" s="709"/>
      <c r="S30" s="710"/>
      <c r="T30" s="65"/>
      <c r="U30" s="45">
        <f t="shared" si="2"/>
        <v>0</v>
      </c>
      <c r="V30" s="62" t="b">
        <f t="shared" si="42"/>
        <v>0</v>
      </c>
      <c r="W30" s="62"/>
      <c r="X30" s="110">
        <f>作業時間報告書!A30</f>
        <v>43394</v>
      </c>
      <c r="Y30" s="111">
        <f t="shared" si="43"/>
        <v>0</v>
      </c>
      <c r="Z30" s="111">
        <f t="shared" si="3"/>
        <v>0</v>
      </c>
      <c r="AA30" s="111">
        <f t="shared" si="44"/>
        <v>0</v>
      </c>
      <c r="AB30" s="77">
        <f t="shared" si="4"/>
        <v>0</v>
      </c>
      <c r="AC30" s="112">
        <f t="shared" si="5"/>
        <v>0</v>
      </c>
      <c r="AD30" s="111">
        <f t="shared" si="6"/>
        <v>0</v>
      </c>
      <c r="AE30" s="77">
        <f t="shared" si="7"/>
        <v>0</v>
      </c>
      <c r="AF30" s="113">
        <f t="shared" si="8"/>
        <v>0</v>
      </c>
      <c r="AG30" s="77">
        <f t="shared" si="9"/>
        <v>0</v>
      </c>
      <c r="AH30" s="77">
        <f t="shared" si="45"/>
        <v>0</v>
      </c>
      <c r="AI30" s="112">
        <f t="shared" si="10"/>
        <v>0</v>
      </c>
      <c r="AJ30" s="77">
        <f t="shared" si="11"/>
        <v>0</v>
      </c>
      <c r="AK30" s="77">
        <f t="shared" si="12"/>
        <v>0</v>
      </c>
      <c r="AL30" s="112">
        <f t="shared" si="13"/>
        <v>0</v>
      </c>
      <c r="AM30" s="77">
        <f t="shared" si="14"/>
        <v>0</v>
      </c>
      <c r="AN30" s="77">
        <f t="shared" si="15"/>
        <v>0</v>
      </c>
      <c r="AO30" s="112">
        <f t="shared" si="16"/>
        <v>0</v>
      </c>
      <c r="AP30" s="77">
        <f t="shared" si="17"/>
        <v>0</v>
      </c>
      <c r="AQ30" s="77">
        <f t="shared" si="18"/>
        <v>0</v>
      </c>
      <c r="AR30" s="112">
        <f t="shared" si="19"/>
        <v>0</v>
      </c>
      <c r="AS30" s="77">
        <f t="shared" si="20"/>
        <v>0</v>
      </c>
      <c r="AT30" s="77">
        <f t="shared" si="21"/>
        <v>0</v>
      </c>
      <c r="AU30" s="112">
        <f t="shared" si="22"/>
        <v>0</v>
      </c>
      <c r="AV30" s="77">
        <f t="shared" si="23"/>
        <v>0</v>
      </c>
      <c r="AW30" s="77">
        <f t="shared" si="24"/>
        <v>0</v>
      </c>
      <c r="AX30" s="112">
        <f t="shared" si="25"/>
        <v>0</v>
      </c>
      <c r="AY30" s="114">
        <f>IF(作業時間報告書!G30=作業時間報告書!$AY$9,作業時間報告書!$X$4,0)</f>
        <v>0</v>
      </c>
      <c r="AZ30" s="115">
        <f>IF(ISNUMBER(作業時間報告書!I30),作業時間報告書!I30,0)*24*60</f>
        <v>0</v>
      </c>
      <c r="BA30" s="115">
        <f>作業時間報告書!H30*24*60</f>
        <v>0</v>
      </c>
      <c r="BB30" s="115">
        <f t="shared" si="26"/>
        <v>0</v>
      </c>
      <c r="BC30" s="116">
        <f t="shared" si="27"/>
        <v>0</v>
      </c>
      <c r="BD30" s="111">
        <f t="shared" si="46"/>
        <v>0</v>
      </c>
      <c r="BE30" s="117">
        <f t="shared" si="28"/>
        <v>0</v>
      </c>
      <c r="BF30" s="117">
        <f t="shared" si="29"/>
        <v>0</v>
      </c>
      <c r="BG30" s="118">
        <f>SUM(BD$10:BD30)</f>
        <v>0</v>
      </c>
      <c r="BH30" s="119">
        <f>SUM(BE$10:BE30)</f>
        <v>0</v>
      </c>
      <c r="BI30" s="120">
        <f>IF(作業時間報告書!U30=1,作業時間報告書!$X$4,0)</f>
        <v>0</v>
      </c>
      <c r="BJ30" s="117">
        <f t="shared" si="30"/>
        <v>0</v>
      </c>
      <c r="BK30" s="120">
        <f>SUM(BI$10:BI30)</f>
        <v>6750</v>
      </c>
      <c r="BL30" s="119">
        <f>SUM(BJ$10:BJ30)</f>
        <v>4.6875</v>
      </c>
      <c r="BM30" s="120">
        <f t="shared" si="31"/>
        <v>0</v>
      </c>
      <c r="BN30" s="121" t="str">
        <f t="shared" si="32"/>
        <v/>
      </c>
      <c r="BO30" s="119">
        <f t="shared" si="47"/>
        <v>0</v>
      </c>
      <c r="BP30" s="120">
        <f>SUM(BM$10:BM30)</f>
        <v>-6750</v>
      </c>
      <c r="BQ30" s="121" t="str">
        <f t="shared" si="33"/>
        <v>-</v>
      </c>
      <c r="BR30" s="122">
        <f t="shared" si="34"/>
        <v>6750</v>
      </c>
      <c r="BS30" s="299" t="str">
        <f>IF(SUM($BO$10:BO30)&lt;0,TEXT(ABS(SUM($BO$10:BO30)),"-[h]:mm"),SUM($BO$10:BO30))</f>
        <v>-112:30</v>
      </c>
      <c r="BT30" s="124"/>
      <c r="BU30" s="123">
        <f t="shared" si="48"/>
        <v>0</v>
      </c>
      <c r="BV30" s="123">
        <f t="shared" si="51"/>
        <v>0</v>
      </c>
      <c r="BW30" s="123">
        <f t="shared" si="35"/>
        <v>0</v>
      </c>
      <c r="BX30" s="123">
        <f t="shared" si="36"/>
        <v>0</v>
      </c>
      <c r="BY30" s="123">
        <f t="shared" si="37"/>
        <v>0</v>
      </c>
      <c r="BZ30" s="123">
        <f t="shared" si="38"/>
        <v>0</v>
      </c>
      <c r="CA30" s="123">
        <f t="shared" si="39"/>
        <v>0</v>
      </c>
      <c r="CB30" s="123">
        <f t="shared" si="40"/>
        <v>0</v>
      </c>
      <c r="CC30" s="123">
        <f t="shared" si="49"/>
        <v>0</v>
      </c>
      <c r="CD30" s="74"/>
      <c r="CE30" s="123">
        <f t="shared" si="41"/>
        <v>0</v>
      </c>
    </row>
    <row r="31" spans="1:110" ht="18" customHeight="1">
      <c r="A31" s="488">
        <f t="shared" si="50"/>
        <v>43395</v>
      </c>
      <c r="B31" s="317">
        <f t="shared" si="1"/>
        <v>2</v>
      </c>
      <c r="C31" s="66"/>
      <c r="D31" s="542"/>
      <c r="E31" s="469" t="str">
        <f t="shared" si="52"/>
        <v>～</v>
      </c>
      <c r="F31" s="545"/>
      <c r="G31" s="456"/>
      <c r="H31" s="559"/>
      <c r="I31" s="556"/>
      <c r="J31" s="314">
        <f>IF(A31="","",作業時間報告書!BJ31)</f>
        <v>0.3125</v>
      </c>
      <c r="K31" s="51">
        <f>TIME(0,作業時間報告書!BC31,0)</f>
        <v>0</v>
      </c>
      <c r="L31" s="549">
        <f>IF(A31="","",作業時間報告書!BE31)</f>
        <v>0</v>
      </c>
      <c r="M31" s="552">
        <f>IF(A31="","",作業時間報告書!BH31)</f>
        <v>0</v>
      </c>
      <c r="N31" s="312"/>
      <c r="O31" s="55" t="str">
        <f>IF(A31="","",作業時間報告書!BS31)</f>
        <v>-120:00</v>
      </c>
      <c r="P31" s="708"/>
      <c r="Q31" s="708"/>
      <c r="R31" s="709"/>
      <c r="S31" s="710"/>
      <c r="T31" s="65"/>
      <c r="U31" s="45">
        <f t="shared" si="2"/>
        <v>1</v>
      </c>
      <c r="V31" s="62" t="b">
        <f t="shared" si="42"/>
        <v>0</v>
      </c>
      <c r="W31" s="62"/>
      <c r="X31" s="110">
        <f>作業時間報告書!A31</f>
        <v>43395</v>
      </c>
      <c r="Y31" s="111">
        <f t="shared" si="43"/>
        <v>0</v>
      </c>
      <c r="Z31" s="111">
        <f t="shared" si="3"/>
        <v>0</v>
      </c>
      <c r="AA31" s="111">
        <f t="shared" si="44"/>
        <v>0</v>
      </c>
      <c r="AB31" s="77">
        <f t="shared" si="4"/>
        <v>0</v>
      </c>
      <c r="AC31" s="112">
        <f t="shared" si="5"/>
        <v>0</v>
      </c>
      <c r="AD31" s="111">
        <f t="shared" si="6"/>
        <v>0</v>
      </c>
      <c r="AE31" s="77">
        <f t="shared" si="7"/>
        <v>0</v>
      </c>
      <c r="AF31" s="113">
        <f t="shared" si="8"/>
        <v>0</v>
      </c>
      <c r="AG31" s="77">
        <f t="shared" si="9"/>
        <v>0</v>
      </c>
      <c r="AH31" s="77">
        <f t="shared" si="45"/>
        <v>0</v>
      </c>
      <c r="AI31" s="112">
        <f t="shared" si="10"/>
        <v>0</v>
      </c>
      <c r="AJ31" s="77">
        <f t="shared" si="11"/>
        <v>0</v>
      </c>
      <c r="AK31" s="77">
        <f t="shared" si="12"/>
        <v>0</v>
      </c>
      <c r="AL31" s="112">
        <f t="shared" si="13"/>
        <v>0</v>
      </c>
      <c r="AM31" s="77">
        <f t="shared" si="14"/>
        <v>0</v>
      </c>
      <c r="AN31" s="77">
        <f t="shared" si="15"/>
        <v>0</v>
      </c>
      <c r="AO31" s="112">
        <f t="shared" si="16"/>
        <v>0</v>
      </c>
      <c r="AP31" s="77">
        <f t="shared" si="17"/>
        <v>0</v>
      </c>
      <c r="AQ31" s="77">
        <f t="shared" si="18"/>
        <v>0</v>
      </c>
      <c r="AR31" s="112">
        <f t="shared" si="19"/>
        <v>0</v>
      </c>
      <c r="AS31" s="77">
        <f t="shared" si="20"/>
        <v>0</v>
      </c>
      <c r="AT31" s="77">
        <f t="shared" si="21"/>
        <v>0</v>
      </c>
      <c r="AU31" s="112">
        <f t="shared" si="22"/>
        <v>0</v>
      </c>
      <c r="AV31" s="77">
        <f t="shared" si="23"/>
        <v>0</v>
      </c>
      <c r="AW31" s="77">
        <f t="shared" si="24"/>
        <v>0</v>
      </c>
      <c r="AX31" s="112">
        <f t="shared" si="25"/>
        <v>0</v>
      </c>
      <c r="AY31" s="114">
        <f>IF(作業時間報告書!G31=作業時間報告書!$AY$9,作業時間報告書!$X$4,0)</f>
        <v>0</v>
      </c>
      <c r="AZ31" s="115">
        <f>IF(ISNUMBER(作業時間報告書!I31),作業時間報告書!I31,0)*24*60</f>
        <v>0</v>
      </c>
      <c r="BA31" s="115">
        <f>作業時間報告書!H31*24*60</f>
        <v>0</v>
      </c>
      <c r="BB31" s="115">
        <f t="shared" si="26"/>
        <v>0</v>
      </c>
      <c r="BC31" s="116">
        <f t="shared" si="27"/>
        <v>0</v>
      </c>
      <c r="BD31" s="111">
        <f t="shared" si="46"/>
        <v>0</v>
      </c>
      <c r="BE31" s="117">
        <f t="shared" si="28"/>
        <v>0</v>
      </c>
      <c r="BF31" s="117">
        <f t="shared" si="29"/>
        <v>0</v>
      </c>
      <c r="BG31" s="118">
        <f>SUM(BD$10:BD31)</f>
        <v>0</v>
      </c>
      <c r="BH31" s="119">
        <f>SUM(BE$10:BE31)</f>
        <v>0</v>
      </c>
      <c r="BI31" s="120">
        <f>IF(作業時間報告書!U31=1,作業時間報告書!$X$4,0)</f>
        <v>450</v>
      </c>
      <c r="BJ31" s="117">
        <f t="shared" si="30"/>
        <v>0.3125</v>
      </c>
      <c r="BK31" s="120">
        <f>SUM(BI$10:BI31)</f>
        <v>7200</v>
      </c>
      <c r="BL31" s="119">
        <f>SUM(BJ$10:BJ31)</f>
        <v>5</v>
      </c>
      <c r="BM31" s="120">
        <f t="shared" si="31"/>
        <v>-450</v>
      </c>
      <c r="BN31" s="121" t="str">
        <f t="shared" si="32"/>
        <v>-</v>
      </c>
      <c r="BO31" s="119">
        <f t="shared" si="47"/>
        <v>-0.3125</v>
      </c>
      <c r="BP31" s="120">
        <f>SUM(BM$10:BM31)</f>
        <v>-7200</v>
      </c>
      <c r="BQ31" s="121" t="str">
        <f t="shared" si="33"/>
        <v>-</v>
      </c>
      <c r="BR31" s="122">
        <f t="shared" si="34"/>
        <v>7200</v>
      </c>
      <c r="BS31" s="299" t="str">
        <f>IF(SUM($BO$10:BO31)&lt;0,TEXT(ABS(SUM($BO$10:BO31)),"-[h]:mm"),SUM($BO$10:BO31))</f>
        <v>-120:00</v>
      </c>
      <c r="BT31" s="124"/>
      <c r="BU31" s="123">
        <f t="shared" si="48"/>
        <v>0</v>
      </c>
      <c r="BV31" s="123">
        <f t="shared" si="51"/>
        <v>0</v>
      </c>
      <c r="BW31" s="123">
        <f t="shared" si="35"/>
        <v>0</v>
      </c>
      <c r="BX31" s="123">
        <f t="shared" si="36"/>
        <v>0</v>
      </c>
      <c r="BY31" s="123">
        <f t="shared" si="37"/>
        <v>0</v>
      </c>
      <c r="BZ31" s="123">
        <f t="shared" si="38"/>
        <v>0</v>
      </c>
      <c r="CA31" s="123">
        <f t="shared" si="39"/>
        <v>0</v>
      </c>
      <c r="CB31" s="123">
        <f t="shared" si="40"/>
        <v>0</v>
      </c>
      <c r="CC31" s="123">
        <f t="shared" si="49"/>
        <v>0</v>
      </c>
      <c r="CD31" s="74"/>
      <c r="CE31" s="123">
        <f t="shared" si="41"/>
        <v>0</v>
      </c>
    </row>
    <row r="32" spans="1:110" ht="18" customHeight="1">
      <c r="A32" s="488">
        <f t="shared" si="50"/>
        <v>43396</v>
      </c>
      <c r="B32" s="317">
        <f t="shared" si="1"/>
        <v>3</v>
      </c>
      <c r="C32" s="66"/>
      <c r="D32" s="542"/>
      <c r="E32" s="469" t="str">
        <f t="shared" si="52"/>
        <v>～</v>
      </c>
      <c r="F32" s="545"/>
      <c r="G32" s="456"/>
      <c r="H32" s="559"/>
      <c r="I32" s="556"/>
      <c r="J32" s="314">
        <f>IF(A32="","",作業時間報告書!BJ32)</f>
        <v>0.3125</v>
      </c>
      <c r="K32" s="51">
        <f>TIME(0,作業時間報告書!BC32,0)</f>
        <v>0</v>
      </c>
      <c r="L32" s="549">
        <f>IF(A32="","",作業時間報告書!BE32)</f>
        <v>0</v>
      </c>
      <c r="M32" s="552">
        <f>IF(A32="","",作業時間報告書!BH32)</f>
        <v>0</v>
      </c>
      <c r="N32" s="312"/>
      <c r="O32" s="55" t="str">
        <f>IF(A32="","",作業時間報告書!BS32)</f>
        <v>-127:30</v>
      </c>
      <c r="P32" s="708"/>
      <c r="Q32" s="708"/>
      <c r="R32" s="709"/>
      <c r="S32" s="710"/>
      <c r="T32" s="65"/>
      <c r="U32" s="45">
        <f t="shared" si="2"/>
        <v>1</v>
      </c>
      <c r="V32" s="62" t="b">
        <f>AND($H32&gt;0,$BB32=0)</f>
        <v>0</v>
      </c>
      <c r="W32" s="62"/>
      <c r="X32" s="110">
        <f>作業時間報告書!A32</f>
        <v>43396</v>
      </c>
      <c r="Y32" s="111">
        <f t="shared" si="43"/>
        <v>0</v>
      </c>
      <c r="Z32" s="111">
        <f t="shared" si="3"/>
        <v>0</v>
      </c>
      <c r="AA32" s="111">
        <f t="shared" si="44"/>
        <v>0</v>
      </c>
      <c r="AB32" s="77">
        <f t="shared" si="4"/>
        <v>0</v>
      </c>
      <c r="AC32" s="112">
        <f t="shared" si="5"/>
        <v>0</v>
      </c>
      <c r="AD32" s="111">
        <f t="shared" si="6"/>
        <v>0</v>
      </c>
      <c r="AE32" s="77">
        <f t="shared" si="7"/>
        <v>0</v>
      </c>
      <c r="AF32" s="113">
        <f t="shared" si="8"/>
        <v>0</v>
      </c>
      <c r="AG32" s="77">
        <f t="shared" si="9"/>
        <v>0</v>
      </c>
      <c r="AH32" s="77">
        <f t="shared" si="45"/>
        <v>0</v>
      </c>
      <c r="AI32" s="112">
        <f t="shared" si="10"/>
        <v>0</v>
      </c>
      <c r="AJ32" s="77">
        <f t="shared" si="11"/>
        <v>0</v>
      </c>
      <c r="AK32" s="77">
        <f t="shared" si="12"/>
        <v>0</v>
      </c>
      <c r="AL32" s="112">
        <f t="shared" si="13"/>
        <v>0</v>
      </c>
      <c r="AM32" s="77">
        <f t="shared" si="14"/>
        <v>0</v>
      </c>
      <c r="AN32" s="77">
        <f t="shared" si="15"/>
        <v>0</v>
      </c>
      <c r="AO32" s="112">
        <f t="shared" si="16"/>
        <v>0</v>
      </c>
      <c r="AP32" s="77">
        <f t="shared" si="17"/>
        <v>0</v>
      </c>
      <c r="AQ32" s="77">
        <f t="shared" si="18"/>
        <v>0</v>
      </c>
      <c r="AR32" s="112">
        <f t="shared" si="19"/>
        <v>0</v>
      </c>
      <c r="AS32" s="77">
        <f t="shared" si="20"/>
        <v>0</v>
      </c>
      <c r="AT32" s="77">
        <f t="shared" si="21"/>
        <v>0</v>
      </c>
      <c r="AU32" s="112">
        <f t="shared" si="22"/>
        <v>0</v>
      </c>
      <c r="AV32" s="77">
        <f t="shared" si="23"/>
        <v>0</v>
      </c>
      <c r="AW32" s="77">
        <f t="shared" si="24"/>
        <v>0</v>
      </c>
      <c r="AX32" s="112">
        <f t="shared" si="25"/>
        <v>0</v>
      </c>
      <c r="AY32" s="114">
        <f>IF(作業時間報告書!G32=作業時間報告書!$AY$9,作業時間報告書!$X$4,0)</f>
        <v>0</v>
      </c>
      <c r="AZ32" s="115">
        <f>IF(ISNUMBER(作業時間報告書!I32),作業時間報告書!I32,0)*24*60</f>
        <v>0</v>
      </c>
      <c r="BA32" s="115">
        <f>作業時間報告書!H32*24*60</f>
        <v>0</v>
      </c>
      <c r="BB32" s="115">
        <f t="shared" si="26"/>
        <v>0</v>
      </c>
      <c r="BC32" s="116">
        <f t="shared" si="27"/>
        <v>0</v>
      </c>
      <c r="BD32" s="111">
        <f t="shared" si="46"/>
        <v>0</v>
      </c>
      <c r="BE32" s="117">
        <f t="shared" si="28"/>
        <v>0</v>
      </c>
      <c r="BF32" s="117">
        <f t="shared" si="29"/>
        <v>0</v>
      </c>
      <c r="BG32" s="118">
        <f>SUM(BD$10:BD32)</f>
        <v>0</v>
      </c>
      <c r="BH32" s="119">
        <f>SUM(BE$10:BE32)</f>
        <v>0</v>
      </c>
      <c r="BI32" s="120">
        <f>IF(作業時間報告書!U32=1,作業時間報告書!$X$4,0)</f>
        <v>450</v>
      </c>
      <c r="BJ32" s="117">
        <f t="shared" si="30"/>
        <v>0.3125</v>
      </c>
      <c r="BK32" s="120">
        <f>SUM(BI$10:BI32)</f>
        <v>7650</v>
      </c>
      <c r="BL32" s="119">
        <f>SUM(BJ$10:BJ32)</f>
        <v>5.3125</v>
      </c>
      <c r="BM32" s="120">
        <f t="shared" si="31"/>
        <v>-450</v>
      </c>
      <c r="BN32" s="121" t="str">
        <f t="shared" si="32"/>
        <v>-</v>
      </c>
      <c r="BO32" s="119">
        <f t="shared" si="47"/>
        <v>-0.3125</v>
      </c>
      <c r="BP32" s="120">
        <f>SUM(BM$10:BM32)</f>
        <v>-7650</v>
      </c>
      <c r="BQ32" s="121" t="str">
        <f t="shared" si="33"/>
        <v>-</v>
      </c>
      <c r="BR32" s="122">
        <f t="shared" si="34"/>
        <v>7650</v>
      </c>
      <c r="BS32" s="299" t="str">
        <f>IF(SUM($BO$10:BO32)&lt;0,TEXT(ABS(SUM($BO$10:BO32)),"-[h]:mm"),SUM($BO$10:BO32))</f>
        <v>-127:30</v>
      </c>
      <c r="BT32" s="124"/>
      <c r="BU32" s="123">
        <f t="shared" si="48"/>
        <v>0</v>
      </c>
      <c r="BV32" s="123">
        <f t="shared" si="51"/>
        <v>0</v>
      </c>
      <c r="BW32" s="123">
        <f t="shared" si="35"/>
        <v>0</v>
      </c>
      <c r="BX32" s="123">
        <f t="shared" si="36"/>
        <v>0</v>
      </c>
      <c r="BY32" s="123">
        <f t="shared" si="37"/>
        <v>0</v>
      </c>
      <c r="BZ32" s="123">
        <f t="shared" si="38"/>
        <v>0</v>
      </c>
      <c r="CA32" s="123">
        <f t="shared" si="39"/>
        <v>0</v>
      </c>
      <c r="CB32" s="123">
        <f t="shared" si="40"/>
        <v>0</v>
      </c>
      <c r="CC32" s="123">
        <f t="shared" si="49"/>
        <v>0</v>
      </c>
      <c r="CD32" s="74"/>
      <c r="CE32" s="123">
        <f t="shared" si="41"/>
        <v>0</v>
      </c>
    </row>
    <row r="33" spans="1:110" ht="18" customHeight="1">
      <c r="A33" s="488">
        <f t="shared" si="50"/>
        <v>43397</v>
      </c>
      <c r="B33" s="317">
        <f t="shared" si="1"/>
        <v>4</v>
      </c>
      <c r="C33" s="66"/>
      <c r="D33" s="542"/>
      <c r="E33" s="469" t="str">
        <f t="shared" si="52"/>
        <v>～</v>
      </c>
      <c r="F33" s="545"/>
      <c r="G33" s="456"/>
      <c r="H33" s="559"/>
      <c r="I33" s="556"/>
      <c r="J33" s="314">
        <f>IF(A33="","",作業時間報告書!BJ33)</f>
        <v>0.3125</v>
      </c>
      <c r="K33" s="51">
        <f>TIME(0,作業時間報告書!BC33,0)</f>
        <v>0</v>
      </c>
      <c r="L33" s="549">
        <f>IF(A33="","",作業時間報告書!BE33)</f>
        <v>0</v>
      </c>
      <c r="M33" s="552">
        <f>IF(A33="","",作業時間報告書!BH33)</f>
        <v>0</v>
      </c>
      <c r="N33" s="312"/>
      <c r="O33" s="55" t="str">
        <f>IF(A33="","",作業時間報告書!BS33)</f>
        <v>-135:00</v>
      </c>
      <c r="P33" s="708"/>
      <c r="Q33" s="708"/>
      <c r="R33" s="709"/>
      <c r="S33" s="710"/>
      <c r="T33" s="65"/>
      <c r="U33" s="45">
        <f t="shared" si="2"/>
        <v>1</v>
      </c>
      <c r="V33" s="62" t="b">
        <f t="shared" si="42"/>
        <v>0</v>
      </c>
      <c r="W33" s="62"/>
      <c r="X33" s="110">
        <f>作業時間報告書!A33</f>
        <v>43397</v>
      </c>
      <c r="Y33" s="111">
        <f t="shared" si="43"/>
        <v>0</v>
      </c>
      <c r="Z33" s="111">
        <f t="shared" si="3"/>
        <v>0</v>
      </c>
      <c r="AA33" s="111">
        <f t="shared" si="44"/>
        <v>0</v>
      </c>
      <c r="AB33" s="77">
        <f t="shared" si="4"/>
        <v>0</v>
      </c>
      <c r="AC33" s="112">
        <f t="shared" si="5"/>
        <v>0</v>
      </c>
      <c r="AD33" s="111">
        <f t="shared" si="6"/>
        <v>0</v>
      </c>
      <c r="AE33" s="77">
        <f t="shared" si="7"/>
        <v>0</v>
      </c>
      <c r="AF33" s="113">
        <f t="shared" si="8"/>
        <v>0</v>
      </c>
      <c r="AG33" s="77">
        <f t="shared" si="9"/>
        <v>0</v>
      </c>
      <c r="AH33" s="77">
        <f t="shared" si="45"/>
        <v>0</v>
      </c>
      <c r="AI33" s="112">
        <f t="shared" si="10"/>
        <v>0</v>
      </c>
      <c r="AJ33" s="77">
        <f t="shared" si="11"/>
        <v>0</v>
      </c>
      <c r="AK33" s="77">
        <f t="shared" si="12"/>
        <v>0</v>
      </c>
      <c r="AL33" s="112">
        <f t="shared" si="13"/>
        <v>0</v>
      </c>
      <c r="AM33" s="77">
        <f t="shared" si="14"/>
        <v>0</v>
      </c>
      <c r="AN33" s="77">
        <f t="shared" si="15"/>
        <v>0</v>
      </c>
      <c r="AO33" s="112">
        <f t="shared" si="16"/>
        <v>0</v>
      </c>
      <c r="AP33" s="77">
        <f t="shared" si="17"/>
        <v>0</v>
      </c>
      <c r="AQ33" s="77">
        <f t="shared" si="18"/>
        <v>0</v>
      </c>
      <c r="AR33" s="112">
        <f t="shared" si="19"/>
        <v>0</v>
      </c>
      <c r="AS33" s="77">
        <f t="shared" si="20"/>
        <v>0</v>
      </c>
      <c r="AT33" s="77">
        <f t="shared" si="21"/>
        <v>0</v>
      </c>
      <c r="AU33" s="112">
        <f t="shared" si="22"/>
        <v>0</v>
      </c>
      <c r="AV33" s="77">
        <f t="shared" si="23"/>
        <v>0</v>
      </c>
      <c r="AW33" s="77">
        <f t="shared" si="24"/>
        <v>0</v>
      </c>
      <c r="AX33" s="112">
        <f t="shared" si="25"/>
        <v>0</v>
      </c>
      <c r="AY33" s="114">
        <f>IF(作業時間報告書!G33=作業時間報告書!$AY$9,作業時間報告書!$X$4,0)</f>
        <v>0</v>
      </c>
      <c r="AZ33" s="115">
        <f>IF(ISNUMBER(作業時間報告書!I33),作業時間報告書!I33,0)*24*60</f>
        <v>0</v>
      </c>
      <c r="BA33" s="115">
        <f>作業時間報告書!H33*24*60</f>
        <v>0</v>
      </c>
      <c r="BB33" s="115">
        <f t="shared" si="26"/>
        <v>0</v>
      </c>
      <c r="BC33" s="116">
        <f t="shared" si="27"/>
        <v>0</v>
      </c>
      <c r="BD33" s="111">
        <f t="shared" si="46"/>
        <v>0</v>
      </c>
      <c r="BE33" s="117">
        <f t="shared" si="28"/>
        <v>0</v>
      </c>
      <c r="BF33" s="117">
        <f t="shared" si="29"/>
        <v>0</v>
      </c>
      <c r="BG33" s="118">
        <f>SUM(BD$10:BD33)</f>
        <v>0</v>
      </c>
      <c r="BH33" s="119">
        <f>SUM(BE$10:BE33)</f>
        <v>0</v>
      </c>
      <c r="BI33" s="120">
        <f>IF(作業時間報告書!U33=1,作業時間報告書!$X$4,0)</f>
        <v>450</v>
      </c>
      <c r="BJ33" s="117">
        <f t="shared" si="30"/>
        <v>0.3125</v>
      </c>
      <c r="BK33" s="120">
        <f>SUM(BI$10:BI33)</f>
        <v>8100</v>
      </c>
      <c r="BL33" s="119">
        <f>SUM(BJ$10:BJ33)</f>
        <v>5.625</v>
      </c>
      <c r="BM33" s="120">
        <f t="shared" si="31"/>
        <v>-450</v>
      </c>
      <c r="BN33" s="121" t="str">
        <f t="shared" si="32"/>
        <v>-</v>
      </c>
      <c r="BO33" s="119">
        <f t="shared" si="47"/>
        <v>-0.3125</v>
      </c>
      <c r="BP33" s="120">
        <f>SUM(BM$10:BM33)</f>
        <v>-8100</v>
      </c>
      <c r="BQ33" s="121" t="str">
        <f t="shared" si="33"/>
        <v>-</v>
      </c>
      <c r="BR33" s="122">
        <f t="shared" si="34"/>
        <v>8100</v>
      </c>
      <c r="BS33" s="299" t="str">
        <f>IF(SUM($BO$10:BO33)&lt;0,TEXT(ABS(SUM($BO$10:BO33)),"-[h]:mm"),SUM($BO$10:BO33))</f>
        <v>-135:00</v>
      </c>
      <c r="BT33" s="124"/>
      <c r="BU33" s="123">
        <f t="shared" si="48"/>
        <v>0</v>
      </c>
      <c r="BV33" s="123">
        <f t="shared" si="51"/>
        <v>0</v>
      </c>
      <c r="BW33" s="123">
        <f t="shared" si="35"/>
        <v>0</v>
      </c>
      <c r="BX33" s="123">
        <f t="shared" si="36"/>
        <v>0</v>
      </c>
      <c r="BY33" s="123">
        <f t="shared" si="37"/>
        <v>0</v>
      </c>
      <c r="BZ33" s="123">
        <f t="shared" si="38"/>
        <v>0</v>
      </c>
      <c r="CA33" s="123">
        <f t="shared" si="39"/>
        <v>0</v>
      </c>
      <c r="CB33" s="123">
        <f t="shared" si="40"/>
        <v>0</v>
      </c>
      <c r="CC33" s="123">
        <f t="shared" si="49"/>
        <v>0</v>
      </c>
      <c r="CD33" s="74"/>
      <c r="CE33" s="123">
        <f t="shared" si="41"/>
        <v>0</v>
      </c>
    </row>
    <row r="34" spans="1:110" ht="18" customHeight="1">
      <c r="A34" s="488">
        <f t="shared" si="50"/>
        <v>43398</v>
      </c>
      <c r="B34" s="317">
        <f t="shared" si="1"/>
        <v>5</v>
      </c>
      <c r="C34" s="66"/>
      <c r="D34" s="542"/>
      <c r="E34" s="469" t="str">
        <f t="shared" si="52"/>
        <v>～</v>
      </c>
      <c r="F34" s="545"/>
      <c r="G34" s="456"/>
      <c r="H34" s="559"/>
      <c r="I34" s="556"/>
      <c r="J34" s="314">
        <f>IF(A34="","",作業時間報告書!BJ34)</f>
        <v>0.3125</v>
      </c>
      <c r="K34" s="54">
        <f>IF(A34="","",TIME(0,作業時間報告書!BC34,0))</f>
        <v>0</v>
      </c>
      <c r="L34" s="549">
        <f>IF(A34="","",作業時間報告書!BE34)</f>
        <v>0</v>
      </c>
      <c r="M34" s="552">
        <f>IF(A34="","",作業時間報告書!BH34)</f>
        <v>0</v>
      </c>
      <c r="N34" s="312"/>
      <c r="O34" s="55" t="str">
        <f>IF(A34="","",作業時間報告書!BS34)</f>
        <v>-142:30</v>
      </c>
      <c r="P34" s="708"/>
      <c r="Q34" s="708"/>
      <c r="R34" s="709"/>
      <c r="S34" s="710"/>
      <c r="T34" s="65"/>
      <c r="U34" s="45">
        <f t="shared" si="2"/>
        <v>1</v>
      </c>
      <c r="V34" s="62" t="b">
        <f t="shared" si="42"/>
        <v>0</v>
      </c>
      <c r="W34" s="62"/>
      <c r="X34" s="110">
        <f>作業時間報告書!A34</f>
        <v>43398</v>
      </c>
      <c r="Y34" s="111">
        <f t="shared" si="43"/>
        <v>0</v>
      </c>
      <c r="Z34" s="111">
        <f t="shared" si="3"/>
        <v>0</v>
      </c>
      <c r="AA34" s="111">
        <f t="shared" si="44"/>
        <v>0</v>
      </c>
      <c r="AB34" s="77">
        <f t="shared" si="4"/>
        <v>0</v>
      </c>
      <c r="AC34" s="112">
        <f t="shared" si="5"/>
        <v>0</v>
      </c>
      <c r="AD34" s="111">
        <f t="shared" si="6"/>
        <v>0</v>
      </c>
      <c r="AE34" s="77">
        <f t="shared" si="7"/>
        <v>0</v>
      </c>
      <c r="AF34" s="113">
        <f t="shared" si="8"/>
        <v>0</v>
      </c>
      <c r="AG34" s="77">
        <f t="shared" si="9"/>
        <v>0</v>
      </c>
      <c r="AH34" s="77">
        <f t="shared" si="45"/>
        <v>0</v>
      </c>
      <c r="AI34" s="112">
        <f t="shared" si="10"/>
        <v>0</v>
      </c>
      <c r="AJ34" s="77">
        <f t="shared" si="11"/>
        <v>0</v>
      </c>
      <c r="AK34" s="77">
        <f t="shared" si="12"/>
        <v>0</v>
      </c>
      <c r="AL34" s="112">
        <f t="shared" si="13"/>
        <v>0</v>
      </c>
      <c r="AM34" s="77">
        <f t="shared" si="14"/>
        <v>0</v>
      </c>
      <c r="AN34" s="77">
        <f t="shared" si="15"/>
        <v>0</v>
      </c>
      <c r="AO34" s="112">
        <f t="shared" si="16"/>
        <v>0</v>
      </c>
      <c r="AP34" s="77">
        <f t="shared" si="17"/>
        <v>0</v>
      </c>
      <c r="AQ34" s="77">
        <f t="shared" si="18"/>
        <v>0</v>
      </c>
      <c r="AR34" s="112">
        <f t="shared" si="19"/>
        <v>0</v>
      </c>
      <c r="AS34" s="77">
        <f t="shared" si="20"/>
        <v>0</v>
      </c>
      <c r="AT34" s="77">
        <f t="shared" si="21"/>
        <v>0</v>
      </c>
      <c r="AU34" s="112">
        <f t="shared" si="22"/>
        <v>0</v>
      </c>
      <c r="AV34" s="77">
        <f t="shared" si="23"/>
        <v>0</v>
      </c>
      <c r="AW34" s="77">
        <f t="shared" si="24"/>
        <v>0</v>
      </c>
      <c r="AX34" s="112">
        <f t="shared" si="25"/>
        <v>0</v>
      </c>
      <c r="AY34" s="114">
        <f>IF(作業時間報告書!G34=作業時間報告書!$AY$9,作業時間報告書!$X$4,0)</f>
        <v>0</v>
      </c>
      <c r="AZ34" s="115">
        <f>IF(ISNUMBER(作業時間報告書!I34),作業時間報告書!I34,0)*24*60</f>
        <v>0</v>
      </c>
      <c r="BA34" s="115">
        <f>作業時間報告書!H34*24*60</f>
        <v>0</v>
      </c>
      <c r="BB34" s="115">
        <f t="shared" si="26"/>
        <v>0</v>
      </c>
      <c r="BC34" s="116">
        <f t="shared" si="27"/>
        <v>0</v>
      </c>
      <c r="BD34" s="111">
        <f t="shared" si="46"/>
        <v>0</v>
      </c>
      <c r="BE34" s="117">
        <f t="shared" si="28"/>
        <v>0</v>
      </c>
      <c r="BF34" s="117">
        <f t="shared" si="29"/>
        <v>0</v>
      </c>
      <c r="BG34" s="118">
        <f>SUM(BD$10:BD34)</f>
        <v>0</v>
      </c>
      <c r="BH34" s="119">
        <f>SUM(BE$10:BE34)</f>
        <v>0</v>
      </c>
      <c r="BI34" s="120">
        <f>IF(作業時間報告書!U34=1,作業時間報告書!$X$4,0)</f>
        <v>450</v>
      </c>
      <c r="BJ34" s="117">
        <f t="shared" si="30"/>
        <v>0.3125</v>
      </c>
      <c r="BK34" s="120">
        <f>SUM(BI$10:BI34)</f>
        <v>8550</v>
      </c>
      <c r="BL34" s="119">
        <f>SUM(BJ$10:BJ34)</f>
        <v>5.9375</v>
      </c>
      <c r="BM34" s="120">
        <f t="shared" si="31"/>
        <v>-450</v>
      </c>
      <c r="BN34" s="121" t="str">
        <f t="shared" si="32"/>
        <v>-</v>
      </c>
      <c r="BO34" s="119">
        <f t="shared" si="47"/>
        <v>-0.3125</v>
      </c>
      <c r="BP34" s="120">
        <f>SUM(BM$10:BM34)</f>
        <v>-8550</v>
      </c>
      <c r="BQ34" s="121" t="str">
        <f t="shared" si="33"/>
        <v>-</v>
      </c>
      <c r="BR34" s="122">
        <f t="shared" si="34"/>
        <v>8550</v>
      </c>
      <c r="BS34" s="299" t="str">
        <f>IF(SUM($BO$10:BO34)&lt;0,TEXT(ABS(SUM($BO$10:BO34)),"-[h]:mm"),SUM($BO$10:BO34))</f>
        <v>-142:30</v>
      </c>
      <c r="BT34" s="124"/>
      <c r="BU34" s="123">
        <f t="shared" si="48"/>
        <v>0</v>
      </c>
      <c r="BV34" s="123">
        <f t="shared" si="51"/>
        <v>0</v>
      </c>
      <c r="BW34" s="123">
        <f t="shared" si="35"/>
        <v>0</v>
      </c>
      <c r="BX34" s="123">
        <f t="shared" si="36"/>
        <v>0</v>
      </c>
      <c r="BY34" s="123">
        <f t="shared" si="37"/>
        <v>0</v>
      </c>
      <c r="BZ34" s="123">
        <f t="shared" si="38"/>
        <v>0</v>
      </c>
      <c r="CA34" s="123">
        <f t="shared" si="39"/>
        <v>0</v>
      </c>
      <c r="CB34" s="123">
        <f t="shared" si="40"/>
        <v>0</v>
      </c>
      <c r="CC34" s="123">
        <f t="shared" si="49"/>
        <v>0</v>
      </c>
      <c r="CD34" s="74"/>
      <c r="CE34" s="123">
        <f t="shared" si="41"/>
        <v>0</v>
      </c>
    </row>
    <row r="35" spans="1:110" ht="18" customHeight="1">
      <c r="A35" s="488">
        <f t="shared" ref="A35:A40" si="53">IF(A34="","",IF(MONTH(A34+1)=MONTH(A33),A34+1,""))</f>
        <v>43399</v>
      </c>
      <c r="B35" s="317">
        <f t="shared" si="1"/>
        <v>6</v>
      </c>
      <c r="C35" s="66"/>
      <c r="D35" s="542"/>
      <c r="E35" s="469" t="str">
        <f t="shared" si="52"/>
        <v>～</v>
      </c>
      <c r="F35" s="545"/>
      <c r="G35" s="456"/>
      <c r="H35" s="559"/>
      <c r="I35" s="556"/>
      <c r="J35" s="314">
        <f>IF(A35="","",作業時間報告書!BJ35)</f>
        <v>0.3125</v>
      </c>
      <c r="K35" s="54">
        <f>IF(A35="","",TIME(0,作業時間報告書!BC35,0))</f>
        <v>0</v>
      </c>
      <c r="L35" s="549">
        <f>IF(A35="","",作業時間報告書!BE35)</f>
        <v>0</v>
      </c>
      <c r="M35" s="552">
        <f>IF(A35="","",作業時間報告書!BH35)</f>
        <v>0</v>
      </c>
      <c r="N35" s="312"/>
      <c r="O35" s="55" t="str">
        <f>IF(A35="","",作業時間報告書!BS35)</f>
        <v>-150:00</v>
      </c>
      <c r="P35" s="708"/>
      <c r="Q35" s="708"/>
      <c r="R35" s="709"/>
      <c r="S35" s="710"/>
      <c r="T35" s="65"/>
      <c r="U35" s="45">
        <f t="shared" si="2"/>
        <v>1</v>
      </c>
      <c r="V35" s="62" t="b">
        <f t="shared" si="42"/>
        <v>0</v>
      </c>
      <c r="W35" s="62"/>
      <c r="X35" s="110">
        <f>作業時間報告書!A35</f>
        <v>43399</v>
      </c>
      <c r="Y35" s="111">
        <f t="shared" si="43"/>
        <v>0</v>
      </c>
      <c r="Z35" s="111">
        <f t="shared" si="3"/>
        <v>0</v>
      </c>
      <c r="AA35" s="111">
        <f t="shared" si="44"/>
        <v>0</v>
      </c>
      <c r="AB35" s="77">
        <f t="shared" si="4"/>
        <v>0</v>
      </c>
      <c r="AC35" s="112">
        <f t="shared" si="5"/>
        <v>0</v>
      </c>
      <c r="AD35" s="111">
        <f t="shared" si="6"/>
        <v>0</v>
      </c>
      <c r="AE35" s="77">
        <f t="shared" si="7"/>
        <v>0</v>
      </c>
      <c r="AF35" s="113">
        <f t="shared" si="8"/>
        <v>0</v>
      </c>
      <c r="AG35" s="77">
        <f t="shared" si="9"/>
        <v>0</v>
      </c>
      <c r="AH35" s="77">
        <f t="shared" si="45"/>
        <v>0</v>
      </c>
      <c r="AI35" s="112">
        <f t="shared" si="10"/>
        <v>0</v>
      </c>
      <c r="AJ35" s="77">
        <f t="shared" si="11"/>
        <v>0</v>
      </c>
      <c r="AK35" s="77">
        <f t="shared" si="12"/>
        <v>0</v>
      </c>
      <c r="AL35" s="112">
        <f t="shared" si="13"/>
        <v>0</v>
      </c>
      <c r="AM35" s="77">
        <f t="shared" si="14"/>
        <v>0</v>
      </c>
      <c r="AN35" s="77">
        <f t="shared" si="15"/>
        <v>0</v>
      </c>
      <c r="AO35" s="112">
        <f t="shared" si="16"/>
        <v>0</v>
      </c>
      <c r="AP35" s="77">
        <f t="shared" si="17"/>
        <v>0</v>
      </c>
      <c r="AQ35" s="77">
        <f t="shared" si="18"/>
        <v>0</v>
      </c>
      <c r="AR35" s="112">
        <f t="shared" si="19"/>
        <v>0</v>
      </c>
      <c r="AS35" s="77">
        <f t="shared" si="20"/>
        <v>0</v>
      </c>
      <c r="AT35" s="77">
        <f t="shared" si="21"/>
        <v>0</v>
      </c>
      <c r="AU35" s="112">
        <f t="shared" si="22"/>
        <v>0</v>
      </c>
      <c r="AV35" s="77">
        <f t="shared" si="23"/>
        <v>0</v>
      </c>
      <c r="AW35" s="77">
        <f t="shared" si="24"/>
        <v>0</v>
      </c>
      <c r="AX35" s="112">
        <f t="shared" si="25"/>
        <v>0</v>
      </c>
      <c r="AY35" s="114">
        <f>IF(作業時間報告書!G35=作業時間報告書!$AY$9,作業時間報告書!$X$4,0)</f>
        <v>0</v>
      </c>
      <c r="AZ35" s="115">
        <f>IF(ISNUMBER(作業時間報告書!I35),作業時間報告書!I35,0)*24*60</f>
        <v>0</v>
      </c>
      <c r="BA35" s="115">
        <f>作業時間報告書!H35*24*60</f>
        <v>0</v>
      </c>
      <c r="BB35" s="115">
        <f t="shared" si="26"/>
        <v>0</v>
      </c>
      <c r="BC35" s="116">
        <f t="shared" si="27"/>
        <v>0</v>
      </c>
      <c r="BD35" s="111">
        <f t="shared" si="46"/>
        <v>0</v>
      </c>
      <c r="BE35" s="117">
        <f t="shared" si="28"/>
        <v>0</v>
      </c>
      <c r="BF35" s="117">
        <f t="shared" si="29"/>
        <v>0</v>
      </c>
      <c r="BG35" s="118">
        <f>SUM(BD$10:BD35)</f>
        <v>0</v>
      </c>
      <c r="BH35" s="119">
        <f>SUM(BE$10:BE35)</f>
        <v>0</v>
      </c>
      <c r="BI35" s="120">
        <f>IF(作業時間報告書!U35=1,作業時間報告書!$X$4,0)</f>
        <v>450</v>
      </c>
      <c r="BJ35" s="117">
        <f t="shared" si="30"/>
        <v>0.3125</v>
      </c>
      <c r="BK35" s="120">
        <f>SUM(BI$10:BI35)</f>
        <v>9000</v>
      </c>
      <c r="BL35" s="119">
        <f>SUM(BJ$10:BJ35)</f>
        <v>6.25</v>
      </c>
      <c r="BM35" s="120">
        <f t="shared" si="31"/>
        <v>-450</v>
      </c>
      <c r="BN35" s="121" t="str">
        <f t="shared" si="32"/>
        <v>-</v>
      </c>
      <c r="BO35" s="119">
        <f t="shared" si="47"/>
        <v>-0.3125</v>
      </c>
      <c r="BP35" s="120">
        <f>SUM(BM$10:BM35)</f>
        <v>-9000</v>
      </c>
      <c r="BQ35" s="121" t="str">
        <f t="shared" si="33"/>
        <v>-</v>
      </c>
      <c r="BR35" s="122">
        <f t="shared" si="34"/>
        <v>9000</v>
      </c>
      <c r="BS35" s="299" t="str">
        <f>IF(SUM($BO$10:BO35)&lt;0,TEXT(ABS(SUM($BO$10:BO35)),"-[h]:mm"),SUM($BO$10:BO35))</f>
        <v>-150:00</v>
      </c>
      <c r="BT35" s="124"/>
      <c r="BU35" s="123">
        <f t="shared" si="48"/>
        <v>0</v>
      </c>
      <c r="BV35" s="123">
        <f t="shared" si="51"/>
        <v>0</v>
      </c>
      <c r="BW35" s="123">
        <f t="shared" si="35"/>
        <v>0</v>
      </c>
      <c r="BX35" s="123">
        <f t="shared" si="36"/>
        <v>0</v>
      </c>
      <c r="BY35" s="123">
        <f t="shared" si="37"/>
        <v>0</v>
      </c>
      <c r="BZ35" s="123">
        <f t="shared" si="38"/>
        <v>0</v>
      </c>
      <c r="CA35" s="123">
        <f t="shared" si="39"/>
        <v>0</v>
      </c>
      <c r="CB35" s="123">
        <f t="shared" si="40"/>
        <v>0</v>
      </c>
      <c r="CC35" s="123">
        <f t="shared" si="49"/>
        <v>0</v>
      </c>
      <c r="CD35" s="74"/>
      <c r="CE35" s="123">
        <f t="shared" si="41"/>
        <v>0</v>
      </c>
    </row>
    <row r="36" spans="1:110" ht="18" customHeight="1">
      <c r="A36" s="488">
        <f t="shared" si="53"/>
        <v>43400</v>
      </c>
      <c r="B36" s="317">
        <f t="shared" si="1"/>
        <v>7</v>
      </c>
      <c r="C36" s="66"/>
      <c r="D36" s="542"/>
      <c r="E36" s="469" t="str">
        <f t="shared" si="52"/>
        <v>～</v>
      </c>
      <c r="F36" s="545"/>
      <c r="G36" s="456"/>
      <c r="H36" s="559"/>
      <c r="I36" s="556"/>
      <c r="J36" s="314">
        <f>IF(A36="","",作業時間報告書!BJ36)</f>
        <v>0</v>
      </c>
      <c r="K36" s="54">
        <f>IF(A36="","",TIME(0,作業時間報告書!BC36,0))</f>
        <v>0</v>
      </c>
      <c r="L36" s="549">
        <f>IF(A36="","",作業時間報告書!BE36)</f>
        <v>0</v>
      </c>
      <c r="M36" s="552">
        <f>IF(A36="","",作業時間報告書!BH36)</f>
        <v>0</v>
      </c>
      <c r="N36" s="312"/>
      <c r="O36" s="55" t="str">
        <f>IF(A36="","",作業時間報告書!BS36)</f>
        <v>-150:00</v>
      </c>
      <c r="P36" s="708"/>
      <c r="Q36" s="708"/>
      <c r="R36" s="709"/>
      <c r="S36" s="710"/>
      <c r="T36" s="65"/>
      <c r="U36" s="45">
        <f t="shared" si="2"/>
        <v>0</v>
      </c>
      <c r="V36" s="62" t="b">
        <f t="shared" si="42"/>
        <v>0</v>
      </c>
      <c r="W36" s="62"/>
      <c r="X36" s="110">
        <f>作業時間報告書!A36</f>
        <v>43400</v>
      </c>
      <c r="Y36" s="111">
        <f t="shared" si="43"/>
        <v>0</v>
      </c>
      <c r="Z36" s="111">
        <f t="shared" si="3"/>
        <v>0</v>
      </c>
      <c r="AA36" s="111">
        <f t="shared" si="44"/>
        <v>0</v>
      </c>
      <c r="AB36" s="77">
        <f t="shared" si="4"/>
        <v>0</v>
      </c>
      <c r="AC36" s="112">
        <f t="shared" si="5"/>
        <v>0</v>
      </c>
      <c r="AD36" s="111">
        <f t="shared" si="6"/>
        <v>0</v>
      </c>
      <c r="AE36" s="77">
        <f t="shared" si="7"/>
        <v>0</v>
      </c>
      <c r="AF36" s="113">
        <f t="shared" si="8"/>
        <v>0</v>
      </c>
      <c r="AG36" s="77">
        <f t="shared" si="9"/>
        <v>0</v>
      </c>
      <c r="AH36" s="77">
        <f t="shared" si="45"/>
        <v>0</v>
      </c>
      <c r="AI36" s="112">
        <f t="shared" si="10"/>
        <v>0</v>
      </c>
      <c r="AJ36" s="77">
        <f t="shared" si="11"/>
        <v>0</v>
      </c>
      <c r="AK36" s="77">
        <f t="shared" si="12"/>
        <v>0</v>
      </c>
      <c r="AL36" s="112">
        <f t="shared" si="13"/>
        <v>0</v>
      </c>
      <c r="AM36" s="77">
        <f t="shared" si="14"/>
        <v>0</v>
      </c>
      <c r="AN36" s="77">
        <f t="shared" si="15"/>
        <v>0</v>
      </c>
      <c r="AO36" s="112">
        <f t="shared" si="16"/>
        <v>0</v>
      </c>
      <c r="AP36" s="77">
        <f t="shared" si="17"/>
        <v>0</v>
      </c>
      <c r="AQ36" s="77">
        <f t="shared" si="18"/>
        <v>0</v>
      </c>
      <c r="AR36" s="112">
        <f t="shared" si="19"/>
        <v>0</v>
      </c>
      <c r="AS36" s="77">
        <f t="shared" si="20"/>
        <v>0</v>
      </c>
      <c r="AT36" s="77">
        <f t="shared" si="21"/>
        <v>0</v>
      </c>
      <c r="AU36" s="112">
        <f t="shared" si="22"/>
        <v>0</v>
      </c>
      <c r="AV36" s="77">
        <f t="shared" si="23"/>
        <v>0</v>
      </c>
      <c r="AW36" s="77">
        <f t="shared" si="24"/>
        <v>0</v>
      </c>
      <c r="AX36" s="112">
        <f t="shared" si="25"/>
        <v>0</v>
      </c>
      <c r="AY36" s="114">
        <f>IF(作業時間報告書!G36=作業時間報告書!$AY$9,作業時間報告書!$X$4,0)</f>
        <v>0</v>
      </c>
      <c r="AZ36" s="115">
        <f>IF(ISNUMBER(作業時間報告書!I36),作業時間報告書!I36,0)*24*60</f>
        <v>0</v>
      </c>
      <c r="BA36" s="115">
        <f>作業時間報告書!H36*24*60</f>
        <v>0</v>
      </c>
      <c r="BB36" s="115">
        <f t="shared" si="26"/>
        <v>0</v>
      </c>
      <c r="BC36" s="116">
        <f t="shared" si="27"/>
        <v>0</v>
      </c>
      <c r="BD36" s="111">
        <f t="shared" si="46"/>
        <v>0</v>
      </c>
      <c r="BE36" s="117">
        <f t="shared" si="28"/>
        <v>0</v>
      </c>
      <c r="BF36" s="117">
        <f t="shared" si="29"/>
        <v>0</v>
      </c>
      <c r="BG36" s="118">
        <f>SUM(BD$10:BD36)</f>
        <v>0</v>
      </c>
      <c r="BH36" s="119">
        <f>SUM(BE$10:BE36)</f>
        <v>0</v>
      </c>
      <c r="BI36" s="120">
        <f>IF(作業時間報告書!U36=1,作業時間報告書!$X$4,0)</f>
        <v>0</v>
      </c>
      <c r="BJ36" s="117">
        <f t="shared" si="30"/>
        <v>0</v>
      </c>
      <c r="BK36" s="120">
        <f>SUM(BI$10:BI36)</f>
        <v>9000</v>
      </c>
      <c r="BL36" s="119">
        <f>SUM(BJ$10:BJ36)</f>
        <v>6.25</v>
      </c>
      <c r="BM36" s="120">
        <f t="shared" si="31"/>
        <v>0</v>
      </c>
      <c r="BN36" s="121" t="str">
        <f t="shared" si="32"/>
        <v/>
      </c>
      <c r="BO36" s="119">
        <f t="shared" si="47"/>
        <v>0</v>
      </c>
      <c r="BP36" s="120">
        <f>SUM(BM$10:BM36)</f>
        <v>-9000</v>
      </c>
      <c r="BQ36" s="121" t="str">
        <f t="shared" si="33"/>
        <v>-</v>
      </c>
      <c r="BR36" s="122">
        <f t="shared" si="34"/>
        <v>9000</v>
      </c>
      <c r="BS36" s="299" t="str">
        <f>IF(SUM($BO$10:BO36)&lt;0,TEXT(ABS(SUM($BO$10:BO36)),"-[h]:mm"),SUM($BO$10:BO36))</f>
        <v>-150:00</v>
      </c>
      <c r="BT36" s="124"/>
      <c r="BU36" s="123">
        <f t="shared" si="48"/>
        <v>0</v>
      </c>
      <c r="BV36" s="123">
        <f t="shared" si="51"/>
        <v>0</v>
      </c>
      <c r="BW36" s="123">
        <f t="shared" si="35"/>
        <v>0</v>
      </c>
      <c r="BX36" s="123">
        <f t="shared" si="36"/>
        <v>0</v>
      </c>
      <c r="BY36" s="123">
        <f t="shared" si="37"/>
        <v>0</v>
      </c>
      <c r="BZ36" s="123">
        <f t="shared" si="38"/>
        <v>0</v>
      </c>
      <c r="CA36" s="123">
        <f t="shared" si="39"/>
        <v>0</v>
      </c>
      <c r="CB36" s="123">
        <f t="shared" si="40"/>
        <v>0</v>
      </c>
      <c r="CC36" s="123">
        <f t="shared" si="49"/>
        <v>0</v>
      </c>
      <c r="CD36" s="74"/>
      <c r="CE36" s="123">
        <f t="shared" si="41"/>
        <v>0</v>
      </c>
    </row>
    <row r="37" spans="1:110" ht="18" customHeight="1">
      <c r="A37" s="488">
        <f t="shared" si="53"/>
        <v>43401</v>
      </c>
      <c r="B37" s="317">
        <f t="shared" si="1"/>
        <v>1</v>
      </c>
      <c r="C37" s="66"/>
      <c r="D37" s="542"/>
      <c r="E37" s="469" t="str">
        <f t="shared" si="52"/>
        <v>～</v>
      </c>
      <c r="F37" s="545"/>
      <c r="G37" s="456"/>
      <c r="H37" s="559"/>
      <c r="I37" s="556"/>
      <c r="J37" s="314">
        <f>IF(A37="","",作業時間報告書!BJ37)</f>
        <v>0</v>
      </c>
      <c r="K37" s="54">
        <f>IF(A37="","",TIME(0,作業時間報告書!BC37,0))</f>
        <v>0</v>
      </c>
      <c r="L37" s="549">
        <f>IF(A37="","",作業時間報告書!BE37)</f>
        <v>0</v>
      </c>
      <c r="M37" s="552">
        <f>IF(A37="","",作業時間報告書!BH37)</f>
        <v>0</v>
      </c>
      <c r="N37" s="312"/>
      <c r="O37" s="55" t="str">
        <f>IF(A37="","",作業時間報告書!BS37)</f>
        <v>-150:00</v>
      </c>
      <c r="P37" s="708"/>
      <c r="Q37" s="708"/>
      <c r="R37" s="709"/>
      <c r="S37" s="710"/>
      <c r="T37" s="65"/>
      <c r="U37" s="45">
        <f t="shared" si="2"/>
        <v>0</v>
      </c>
      <c r="V37" s="62" t="b">
        <f t="shared" si="42"/>
        <v>0</v>
      </c>
      <c r="W37" s="62"/>
      <c r="X37" s="110">
        <f>作業時間報告書!A37</f>
        <v>43401</v>
      </c>
      <c r="Y37" s="111">
        <f t="shared" si="43"/>
        <v>0</v>
      </c>
      <c r="Z37" s="111">
        <f t="shared" si="3"/>
        <v>0</v>
      </c>
      <c r="AA37" s="111">
        <f t="shared" si="44"/>
        <v>0</v>
      </c>
      <c r="AB37" s="77">
        <f t="shared" si="4"/>
        <v>0</v>
      </c>
      <c r="AC37" s="112">
        <f t="shared" si="5"/>
        <v>0</v>
      </c>
      <c r="AD37" s="111">
        <f t="shared" si="6"/>
        <v>0</v>
      </c>
      <c r="AE37" s="77">
        <f t="shared" si="7"/>
        <v>0</v>
      </c>
      <c r="AF37" s="113">
        <f t="shared" si="8"/>
        <v>0</v>
      </c>
      <c r="AG37" s="77">
        <f t="shared" si="9"/>
        <v>0</v>
      </c>
      <c r="AH37" s="77">
        <f t="shared" si="45"/>
        <v>0</v>
      </c>
      <c r="AI37" s="112">
        <f t="shared" si="10"/>
        <v>0</v>
      </c>
      <c r="AJ37" s="77">
        <f t="shared" si="11"/>
        <v>0</v>
      </c>
      <c r="AK37" s="77">
        <f t="shared" si="12"/>
        <v>0</v>
      </c>
      <c r="AL37" s="112">
        <f t="shared" si="13"/>
        <v>0</v>
      </c>
      <c r="AM37" s="77">
        <f t="shared" si="14"/>
        <v>0</v>
      </c>
      <c r="AN37" s="77">
        <f t="shared" si="15"/>
        <v>0</v>
      </c>
      <c r="AO37" s="112">
        <f t="shared" si="16"/>
        <v>0</v>
      </c>
      <c r="AP37" s="77">
        <f t="shared" si="17"/>
        <v>0</v>
      </c>
      <c r="AQ37" s="77">
        <f t="shared" si="18"/>
        <v>0</v>
      </c>
      <c r="AR37" s="112">
        <f t="shared" si="19"/>
        <v>0</v>
      </c>
      <c r="AS37" s="77">
        <f t="shared" si="20"/>
        <v>0</v>
      </c>
      <c r="AT37" s="77">
        <f t="shared" si="21"/>
        <v>0</v>
      </c>
      <c r="AU37" s="112">
        <f t="shared" si="22"/>
        <v>0</v>
      </c>
      <c r="AV37" s="77">
        <f t="shared" si="23"/>
        <v>0</v>
      </c>
      <c r="AW37" s="77">
        <f t="shared" si="24"/>
        <v>0</v>
      </c>
      <c r="AX37" s="112">
        <f t="shared" si="25"/>
        <v>0</v>
      </c>
      <c r="AY37" s="114">
        <f>IF(作業時間報告書!G37=作業時間報告書!$AY$9,作業時間報告書!$X$4,0)</f>
        <v>0</v>
      </c>
      <c r="AZ37" s="115">
        <f>IF(ISNUMBER(作業時間報告書!I37),作業時間報告書!I37,0)*24*60</f>
        <v>0</v>
      </c>
      <c r="BA37" s="115">
        <f>作業時間報告書!H37*24*60</f>
        <v>0</v>
      </c>
      <c r="BB37" s="115">
        <f t="shared" si="26"/>
        <v>0</v>
      </c>
      <c r="BC37" s="116">
        <f t="shared" si="27"/>
        <v>0</v>
      </c>
      <c r="BD37" s="111">
        <f t="shared" si="46"/>
        <v>0</v>
      </c>
      <c r="BE37" s="117">
        <f t="shared" si="28"/>
        <v>0</v>
      </c>
      <c r="BF37" s="117">
        <f t="shared" si="29"/>
        <v>0</v>
      </c>
      <c r="BG37" s="118">
        <f>SUM(BD$10:BD37)</f>
        <v>0</v>
      </c>
      <c r="BH37" s="119">
        <f>SUM(BE$10:BE37)</f>
        <v>0</v>
      </c>
      <c r="BI37" s="120">
        <f>IF(作業時間報告書!U37=1,作業時間報告書!$X$4,0)</f>
        <v>0</v>
      </c>
      <c r="BJ37" s="117">
        <f t="shared" si="30"/>
        <v>0</v>
      </c>
      <c r="BK37" s="120">
        <f>SUM(BI$10:BI37)</f>
        <v>9000</v>
      </c>
      <c r="BL37" s="119">
        <f>SUM(BJ$10:BJ37)</f>
        <v>6.25</v>
      </c>
      <c r="BM37" s="120">
        <f t="shared" si="31"/>
        <v>0</v>
      </c>
      <c r="BN37" s="121" t="str">
        <f t="shared" si="32"/>
        <v/>
      </c>
      <c r="BO37" s="119">
        <f t="shared" si="47"/>
        <v>0</v>
      </c>
      <c r="BP37" s="120">
        <f>SUM(BM$10:BM37)</f>
        <v>-9000</v>
      </c>
      <c r="BQ37" s="121" t="str">
        <f t="shared" si="33"/>
        <v>-</v>
      </c>
      <c r="BR37" s="122">
        <f t="shared" si="34"/>
        <v>9000</v>
      </c>
      <c r="BS37" s="299" t="str">
        <f>IF(SUM($BO$10:BO37)&lt;0,TEXT(ABS(SUM($BO$10:BO37)),"-[h]:mm"),SUM($BO$10:BO37))</f>
        <v>-150:00</v>
      </c>
      <c r="BT37" s="124"/>
      <c r="BU37" s="123">
        <f t="shared" si="48"/>
        <v>0</v>
      </c>
      <c r="BV37" s="123">
        <f t="shared" si="51"/>
        <v>0</v>
      </c>
      <c r="BW37" s="123">
        <f t="shared" si="35"/>
        <v>0</v>
      </c>
      <c r="BX37" s="123">
        <f t="shared" si="36"/>
        <v>0</v>
      </c>
      <c r="BY37" s="123">
        <f t="shared" si="37"/>
        <v>0</v>
      </c>
      <c r="BZ37" s="123">
        <f t="shared" si="38"/>
        <v>0</v>
      </c>
      <c r="CA37" s="123">
        <f t="shared" si="39"/>
        <v>0</v>
      </c>
      <c r="CB37" s="123">
        <f t="shared" si="40"/>
        <v>0</v>
      </c>
      <c r="CC37" s="123">
        <f t="shared" si="49"/>
        <v>0</v>
      </c>
      <c r="CD37" s="74"/>
      <c r="CE37" s="123">
        <f t="shared" si="41"/>
        <v>0</v>
      </c>
    </row>
    <row r="38" spans="1:110" ht="18" customHeight="1">
      <c r="A38" s="488">
        <f t="shared" si="53"/>
        <v>43402</v>
      </c>
      <c r="B38" s="317">
        <f t="shared" si="1"/>
        <v>2</v>
      </c>
      <c r="C38" s="66"/>
      <c r="D38" s="543"/>
      <c r="E38" s="469" t="str">
        <f t="shared" si="52"/>
        <v>～</v>
      </c>
      <c r="F38" s="546"/>
      <c r="G38" s="456"/>
      <c r="H38" s="559"/>
      <c r="I38" s="556"/>
      <c r="J38" s="314">
        <f>IF(A38="","",作業時間報告書!BJ38)</f>
        <v>0.3125</v>
      </c>
      <c r="K38" s="54">
        <f>IF(A38="","",TIME(0,作業時間報告書!BC38,0))</f>
        <v>0</v>
      </c>
      <c r="L38" s="549">
        <f>IF(A38="","",作業時間報告書!BE38)</f>
        <v>0</v>
      </c>
      <c r="M38" s="552">
        <f>IF(A38="","",作業時間報告書!BH38)</f>
        <v>0</v>
      </c>
      <c r="N38" s="312"/>
      <c r="O38" s="55" t="str">
        <f>IF(A38="","",作業時間報告書!BS38)</f>
        <v>-157:30</v>
      </c>
      <c r="P38" s="708"/>
      <c r="Q38" s="708"/>
      <c r="R38" s="709"/>
      <c r="S38" s="710"/>
      <c r="T38" s="65"/>
      <c r="U38" s="45">
        <f t="shared" si="2"/>
        <v>1</v>
      </c>
      <c r="V38" s="62" t="b">
        <f t="shared" si="42"/>
        <v>0</v>
      </c>
      <c r="W38" s="62"/>
      <c r="X38" s="110">
        <f>作業時間報告書!A38</f>
        <v>43402</v>
      </c>
      <c r="Y38" s="111">
        <f t="shared" si="43"/>
        <v>0</v>
      </c>
      <c r="Z38" s="111">
        <f t="shared" si="3"/>
        <v>0</v>
      </c>
      <c r="AA38" s="111">
        <f t="shared" si="44"/>
        <v>0</v>
      </c>
      <c r="AB38" s="77">
        <f t="shared" si="4"/>
        <v>0</v>
      </c>
      <c r="AC38" s="112">
        <f t="shared" si="5"/>
        <v>0</v>
      </c>
      <c r="AD38" s="111">
        <f t="shared" si="6"/>
        <v>0</v>
      </c>
      <c r="AE38" s="77">
        <f t="shared" si="7"/>
        <v>0</v>
      </c>
      <c r="AF38" s="113">
        <f t="shared" si="8"/>
        <v>0</v>
      </c>
      <c r="AG38" s="77">
        <f t="shared" si="9"/>
        <v>0</v>
      </c>
      <c r="AH38" s="77">
        <f t="shared" si="45"/>
        <v>0</v>
      </c>
      <c r="AI38" s="112">
        <f t="shared" si="10"/>
        <v>0</v>
      </c>
      <c r="AJ38" s="77">
        <f t="shared" si="11"/>
        <v>0</v>
      </c>
      <c r="AK38" s="77">
        <f t="shared" si="12"/>
        <v>0</v>
      </c>
      <c r="AL38" s="112">
        <f t="shared" si="13"/>
        <v>0</v>
      </c>
      <c r="AM38" s="77">
        <f t="shared" si="14"/>
        <v>0</v>
      </c>
      <c r="AN38" s="77">
        <f t="shared" si="15"/>
        <v>0</v>
      </c>
      <c r="AO38" s="112">
        <f t="shared" si="16"/>
        <v>0</v>
      </c>
      <c r="AP38" s="77">
        <f t="shared" si="17"/>
        <v>0</v>
      </c>
      <c r="AQ38" s="77">
        <f t="shared" si="18"/>
        <v>0</v>
      </c>
      <c r="AR38" s="112">
        <f t="shared" si="19"/>
        <v>0</v>
      </c>
      <c r="AS38" s="77">
        <f t="shared" si="20"/>
        <v>0</v>
      </c>
      <c r="AT38" s="77">
        <f t="shared" si="21"/>
        <v>0</v>
      </c>
      <c r="AU38" s="112">
        <f t="shared" si="22"/>
        <v>0</v>
      </c>
      <c r="AV38" s="77">
        <f t="shared" si="23"/>
        <v>0</v>
      </c>
      <c r="AW38" s="77">
        <f t="shared" si="24"/>
        <v>0</v>
      </c>
      <c r="AX38" s="112">
        <f t="shared" si="25"/>
        <v>0</v>
      </c>
      <c r="AY38" s="114">
        <f>IF(作業時間報告書!G38=作業時間報告書!$AY$9,作業時間報告書!$X$4,0)</f>
        <v>0</v>
      </c>
      <c r="AZ38" s="115">
        <f>IF(ISNUMBER(作業時間報告書!I38),作業時間報告書!I38,0)*24*60</f>
        <v>0</v>
      </c>
      <c r="BA38" s="115">
        <f>作業時間報告書!H38*24*60</f>
        <v>0</v>
      </c>
      <c r="BB38" s="115">
        <f t="shared" si="26"/>
        <v>0</v>
      </c>
      <c r="BC38" s="116">
        <f t="shared" si="27"/>
        <v>0</v>
      </c>
      <c r="BD38" s="111">
        <f t="shared" si="46"/>
        <v>0</v>
      </c>
      <c r="BE38" s="117">
        <f t="shared" si="28"/>
        <v>0</v>
      </c>
      <c r="BF38" s="117">
        <f t="shared" si="29"/>
        <v>0</v>
      </c>
      <c r="BG38" s="118">
        <f>SUM(BD$10:BD38)</f>
        <v>0</v>
      </c>
      <c r="BH38" s="119">
        <f>SUM(BE$10:BE38)</f>
        <v>0</v>
      </c>
      <c r="BI38" s="120">
        <f>IF(作業時間報告書!U38=1,作業時間報告書!$X$4,0)</f>
        <v>450</v>
      </c>
      <c r="BJ38" s="117">
        <f t="shared" si="30"/>
        <v>0.3125</v>
      </c>
      <c r="BK38" s="120">
        <f>SUM(BI$10:BI38)</f>
        <v>9450</v>
      </c>
      <c r="BL38" s="119">
        <f>SUM(BJ$10:BJ38)</f>
        <v>6.5625</v>
      </c>
      <c r="BM38" s="120">
        <f t="shared" si="31"/>
        <v>-450</v>
      </c>
      <c r="BN38" s="121" t="str">
        <f t="shared" si="32"/>
        <v>-</v>
      </c>
      <c r="BO38" s="119">
        <f t="shared" si="47"/>
        <v>-0.3125</v>
      </c>
      <c r="BP38" s="120">
        <f>SUM(BM$10:BM38)</f>
        <v>-9450</v>
      </c>
      <c r="BQ38" s="121" t="str">
        <f t="shared" si="33"/>
        <v>-</v>
      </c>
      <c r="BR38" s="122">
        <f t="shared" si="34"/>
        <v>9450</v>
      </c>
      <c r="BS38" s="299" t="str">
        <f>IF(SUM($BO$10:BO38)&lt;0,TEXT(ABS(SUM($BO$10:BO38)),"-[h]:mm"),SUM($BO$10:BO38))</f>
        <v>-157:30</v>
      </c>
      <c r="BT38" s="124"/>
      <c r="BU38" s="123">
        <f t="shared" si="48"/>
        <v>0</v>
      </c>
      <c r="BV38" s="123">
        <f t="shared" si="51"/>
        <v>0</v>
      </c>
      <c r="BW38" s="123">
        <f t="shared" si="35"/>
        <v>0</v>
      </c>
      <c r="BX38" s="123">
        <f t="shared" si="36"/>
        <v>0</v>
      </c>
      <c r="BY38" s="123">
        <f t="shared" si="37"/>
        <v>0</v>
      </c>
      <c r="BZ38" s="123">
        <f t="shared" si="38"/>
        <v>0</v>
      </c>
      <c r="CA38" s="123">
        <f t="shared" si="39"/>
        <v>0</v>
      </c>
      <c r="CB38" s="123">
        <f t="shared" si="40"/>
        <v>0</v>
      </c>
      <c r="CC38" s="123">
        <f t="shared" si="49"/>
        <v>0</v>
      </c>
      <c r="CD38" s="74"/>
      <c r="CE38" s="123">
        <f t="shared" si="41"/>
        <v>0</v>
      </c>
    </row>
    <row r="39" spans="1:110" ht="18" customHeight="1">
      <c r="A39" s="488">
        <f t="shared" si="53"/>
        <v>43403</v>
      </c>
      <c r="B39" s="317">
        <f t="shared" si="1"/>
        <v>3</v>
      </c>
      <c r="C39" s="66"/>
      <c r="D39" s="542"/>
      <c r="E39" s="469" t="str">
        <f t="shared" si="52"/>
        <v>～</v>
      </c>
      <c r="F39" s="545"/>
      <c r="G39" s="456"/>
      <c r="H39" s="559"/>
      <c r="I39" s="556"/>
      <c r="J39" s="314">
        <f>IF(A39="","",作業時間報告書!BJ39)</f>
        <v>0.3125</v>
      </c>
      <c r="K39" s="54">
        <f>IF(A39="","",TIME(0,作業時間報告書!BC39,0))</f>
        <v>0</v>
      </c>
      <c r="L39" s="549">
        <f>IF(A39="","",作業時間報告書!BE39)</f>
        <v>0</v>
      </c>
      <c r="M39" s="552">
        <f>IF(A39="","",作業時間報告書!BH39)</f>
        <v>0</v>
      </c>
      <c r="N39" s="312"/>
      <c r="O39" s="55" t="str">
        <f>IF(A39="","",作業時間報告書!BS39)</f>
        <v>-165:00</v>
      </c>
      <c r="P39" s="708"/>
      <c r="Q39" s="708"/>
      <c r="R39" s="709"/>
      <c r="S39" s="710"/>
      <c r="T39" s="65"/>
      <c r="U39" s="45">
        <f t="shared" si="2"/>
        <v>1</v>
      </c>
      <c r="V39" s="62" t="b">
        <f t="shared" si="42"/>
        <v>0</v>
      </c>
      <c r="W39" s="62"/>
      <c r="X39" s="110">
        <f>作業時間報告書!A39</f>
        <v>43403</v>
      </c>
      <c r="Y39" s="111">
        <f t="shared" si="43"/>
        <v>0</v>
      </c>
      <c r="Z39" s="111">
        <f t="shared" si="3"/>
        <v>0</v>
      </c>
      <c r="AA39" s="111">
        <f t="shared" si="44"/>
        <v>0</v>
      </c>
      <c r="AB39" s="77">
        <f t="shared" si="4"/>
        <v>0</v>
      </c>
      <c r="AC39" s="112">
        <f t="shared" si="5"/>
        <v>0</v>
      </c>
      <c r="AD39" s="111">
        <f t="shared" si="6"/>
        <v>0</v>
      </c>
      <c r="AE39" s="77">
        <f t="shared" si="7"/>
        <v>0</v>
      </c>
      <c r="AF39" s="113">
        <f t="shared" si="8"/>
        <v>0</v>
      </c>
      <c r="AG39" s="77">
        <f t="shared" si="9"/>
        <v>0</v>
      </c>
      <c r="AH39" s="77">
        <f t="shared" si="45"/>
        <v>0</v>
      </c>
      <c r="AI39" s="112">
        <f t="shared" si="10"/>
        <v>0</v>
      </c>
      <c r="AJ39" s="77">
        <f t="shared" si="11"/>
        <v>0</v>
      </c>
      <c r="AK39" s="77">
        <f t="shared" si="12"/>
        <v>0</v>
      </c>
      <c r="AL39" s="112">
        <f t="shared" si="13"/>
        <v>0</v>
      </c>
      <c r="AM39" s="77">
        <f t="shared" si="14"/>
        <v>0</v>
      </c>
      <c r="AN39" s="77">
        <f t="shared" si="15"/>
        <v>0</v>
      </c>
      <c r="AO39" s="112">
        <f t="shared" si="16"/>
        <v>0</v>
      </c>
      <c r="AP39" s="77">
        <f t="shared" si="17"/>
        <v>0</v>
      </c>
      <c r="AQ39" s="77">
        <f t="shared" si="18"/>
        <v>0</v>
      </c>
      <c r="AR39" s="112">
        <f t="shared" si="19"/>
        <v>0</v>
      </c>
      <c r="AS39" s="77">
        <f t="shared" si="20"/>
        <v>0</v>
      </c>
      <c r="AT39" s="77">
        <f t="shared" si="21"/>
        <v>0</v>
      </c>
      <c r="AU39" s="112">
        <f t="shared" si="22"/>
        <v>0</v>
      </c>
      <c r="AV39" s="77">
        <f t="shared" si="23"/>
        <v>0</v>
      </c>
      <c r="AW39" s="77">
        <f t="shared" si="24"/>
        <v>0</v>
      </c>
      <c r="AX39" s="112">
        <f t="shared" si="25"/>
        <v>0</v>
      </c>
      <c r="AY39" s="114">
        <f>IF(作業時間報告書!G39=作業時間報告書!$AY$9,作業時間報告書!$X$4,0)</f>
        <v>0</v>
      </c>
      <c r="AZ39" s="115">
        <f>IF(ISNUMBER(作業時間報告書!I39),作業時間報告書!I39,0)*24*60</f>
        <v>0</v>
      </c>
      <c r="BA39" s="115">
        <f>作業時間報告書!H39*24*60</f>
        <v>0</v>
      </c>
      <c r="BB39" s="115">
        <f t="shared" si="26"/>
        <v>0</v>
      </c>
      <c r="BC39" s="116">
        <f t="shared" si="27"/>
        <v>0</v>
      </c>
      <c r="BD39" s="111">
        <f t="shared" si="46"/>
        <v>0</v>
      </c>
      <c r="BE39" s="117">
        <f t="shared" si="28"/>
        <v>0</v>
      </c>
      <c r="BF39" s="117">
        <f t="shared" si="29"/>
        <v>0</v>
      </c>
      <c r="BG39" s="118">
        <f>SUM(BD$10:BD39)</f>
        <v>0</v>
      </c>
      <c r="BH39" s="119">
        <f>SUM(BE$10:BE39)</f>
        <v>0</v>
      </c>
      <c r="BI39" s="120">
        <f>IF(作業時間報告書!U39=1,作業時間報告書!$X$4,0)</f>
        <v>450</v>
      </c>
      <c r="BJ39" s="117">
        <f t="shared" si="30"/>
        <v>0.3125</v>
      </c>
      <c r="BK39" s="120">
        <f>SUM(BI$10:BI39)</f>
        <v>9900</v>
      </c>
      <c r="BL39" s="119">
        <f>SUM(BJ$10:BJ39)</f>
        <v>6.875</v>
      </c>
      <c r="BM39" s="120">
        <f t="shared" si="31"/>
        <v>-450</v>
      </c>
      <c r="BN39" s="121" t="str">
        <f t="shared" si="32"/>
        <v>-</v>
      </c>
      <c r="BO39" s="119">
        <f t="shared" si="47"/>
        <v>-0.3125</v>
      </c>
      <c r="BP39" s="120">
        <f>SUM(BM$10:BM39)</f>
        <v>-9900</v>
      </c>
      <c r="BQ39" s="121" t="str">
        <f t="shared" si="33"/>
        <v>-</v>
      </c>
      <c r="BR39" s="122">
        <f t="shared" si="34"/>
        <v>9900</v>
      </c>
      <c r="BS39" s="299" t="str">
        <f>IF(SUM($BO$10:BO39)&lt;0,TEXT(ABS(SUM($BO$10:BO39)),"-[h]:mm"),SUM($BO$10:BO39))</f>
        <v>-165:00</v>
      </c>
      <c r="BT39" s="124"/>
      <c r="BU39" s="123">
        <f t="shared" si="48"/>
        <v>0</v>
      </c>
      <c r="BV39" s="123">
        <f t="shared" si="51"/>
        <v>0</v>
      </c>
      <c r="BW39" s="123">
        <f t="shared" si="35"/>
        <v>0</v>
      </c>
      <c r="BX39" s="123">
        <f t="shared" si="36"/>
        <v>0</v>
      </c>
      <c r="BY39" s="123">
        <f t="shared" si="37"/>
        <v>0</v>
      </c>
      <c r="BZ39" s="123">
        <f t="shared" si="38"/>
        <v>0</v>
      </c>
      <c r="CA39" s="123">
        <f t="shared" si="39"/>
        <v>0</v>
      </c>
      <c r="CB39" s="123">
        <f t="shared" si="40"/>
        <v>0</v>
      </c>
      <c r="CC39" s="123">
        <f t="shared" si="49"/>
        <v>0</v>
      </c>
      <c r="CD39" s="74"/>
      <c r="CE39" s="123">
        <f t="shared" si="41"/>
        <v>0</v>
      </c>
    </row>
    <row r="40" spans="1:110" ht="18" customHeight="1" thickBot="1">
      <c r="A40" s="489">
        <f t="shared" si="53"/>
        <v>43404</v>
      </c>
      <c r="B40" s="328">
        <f t="shared" si="1"/>
        <v>4</v>
      </c>
      <c r="C40" s="329"/>
      <c r="D40" s="544"/>
      <c r="E40" s="470" t="str">
        <f>IF(A40="","","～")</f>
        <v>～</v>
      </c>
      <c r="F40" s="547"/>
      <c r="G40" s="458"/>
      <c r="H40" s="560"/>
      <c r="I40" s="557"/>
      <c r="J40" s="330">
        <f>IF(A40="","",作業時間報告書!BJ40)</f>
        <v>0.3125</v>
      </c>
      <c r="K40" s="331">
        <f>IF(A40="","",TIME(0,作業時間報告書!BC40,0))</f>
        <v>0</v>
      </c>
      <c r="L40" s="550">
        <f>IF(A40="","",作業時間報告書!BE40)</f>
        <v>0</v>
      </c>
      <c r="M40" s="553">
        <f>IF(A40="","",作業時間報告書!BH40)</f>
        <v>0</v>
      </c>
      <c r="N40" s="332"/>
      <c r="O40" s="333" t="str">
        <f>IF(A40="","",作業時間報告書!BS40)</f>
        <v>-172:30</v>
      </c>
      <c r="P40" s="711"/>
      <c r="Q40" s="711"/>
      <c r="R40" s="712"/>
      <c r="S40" s="713"/>
      <c r="T40" s="65"/>
      <c r="U40" s="45">
        <f t="shared" si="2"/>
        <v>1</v>
      </c>
      <c r="V40" s="62" t="b">
        <f t="shared" si="42"/>
        <v>0</v>
      </c>
      <c r="W40" s="62"/>
      <c r="X40" s="338">
        <f>作業時間報告書!A40</f>
        <v>43404</v>
      </c>
      <c r="Y40" s="82">
        <f t="shared" si="43"/>
        <v>0</v>
      </c>
      <c r="Z40" s="82">
        <f t="shared" si="3"/>
        <v>0</v>
      </c>
      <c r="AA40" s="82">
        <f t="shared" si="44"/>
        <v>0</v>
      </c>
      <c r="AB40" s="83">
        <f t="shared" si="4"/>
        <v>0</v>
      </c>
      <c r="AC40" s="339">
        <f t="shared" si="5"/>
        <v>0</v>
      </c>
      <c r="AD40" s="82">
        <f t="shared" si="6"/>
        <v>0</v>
      </c>
      <c r="AE40" s="83">
        <f t="shared" si="7"/>
        <v>0</v>
      </c>
      <c r="AF40" s="340">
        <f t="shared" si="8"/>
        <v>0</v>
      </c>
      <c r="AG40" s="83">
        <f t="shared" si="9"/>
        <v>0</v>
      </c>
      <c r="AH40" s="83">
        <f t="shared" si="45"/>
        <v>0</v>
      </c>
      <c r="AI40" s="339">
        <f t="shared" si="10"/>
        <v>0</v>
      </c>
      <c r="AJ40" s="83">
        <f t="shared" si="11"/>
        <v>0</v>
      </c>
      <c r="AK40" s="83">
        <f t="shared" si="12"/>
        <v>0</v>
      </c>
      <c r="AL40" s="339">
        <f t="shared" si="13"/>
        <v>0</v>
      </c>
      <c r="AM40" s="83">
        <f t="shared" si="14"/>
        <v>0</v>
      </c>
      <c r="AN40" s="83">
        <f t="shared" si="15"/>
        <v>0</v>
      </c>
      <c r="AO40" s="339">
        <f t="shared" si="16"/>
        <v>0</v>
      </c>
      <c r="AP40" s="83">
        <f t="shared" si="17"/>
        <v>0</v>
      </c>
      <c r="AQ40" s="83">
        <f t="shared" si="18"/>
        <v>0</v>
      </c>
      <c r="AR40" s="339">
        <f t="shared" si="19"/>
        <v>0</v>
      </c>
      <c r="AS40" s="83">
        <f t="shared" si="20"/>
        <v>0</v>
      </c>
      <c r="AT40" s="83">
        <f t="shared" si="21"/>
        <v>0</v>
      </c>
      <c r="AU40" s="339">
        <f t="shared" si="22"/>
        <v>0</v>
      </c>
      <c r="AV40" s="83">
        <f t="shared" si="23"/>
        <v>0</v>
      </c>
      <c r="AW40" s="83">
        <f t="shared" si="24"/>
        <v>0</v>
      </c>
      <c r="AX40" s="339">
        <f t="shared" si="25"/>
        <v>0</v>
      </c>
      <c r="AY40" s="341">
        <f>IF(作業時間報告書!G40=作業時間報告書!$AY$9,作業時間報告書!$X$4,0)</f>
        <v>0</v>
      </c>
      <c r="AZ40" s="342">
        <f>IF(ISNUMBER(作業時間報告書!I40),作業時間報告書!I40,0)*24*60</f>
        <v>0</v>
      </c>
      <c r="BA40" s="342">
        <f>作業時間報告書!H40*24*60</f>
        <v>0</v>
      </c>
      <c r="BB40" s="115">
        <f t="shared" si="26"/>
        <v>0</v>
      </c>
      <c r="BC40" s="81">
        <f t="shared" si="27"/>
        <v>0</v>
      </c>
      <c r="BD40" s="111">
        <f t="shared" si="46"/>
        <v>0</v>
      </c>
      <c r="BE40" s="343">
        <f t="shared" si="28"/>
        <v>0</v>
      </c>
      <c r="BF40" s="343">
        <f t="shared" si="29"/>
        <v>0</v>
      </c>
      <c r="BG40" s="344">
        <f>SUM(BD$10:BD40)</f>
        <v>0</v>
      </c>
      <c r="BH40" s="345">
        <f>SUM(BE$10:BE40)</f>
        <v>0</v>
      </c>
      <c r="BI40" s="346">
        <f>IF(作業時間報告書!U40=1,作業時間報告書!$X$4,0)</f>
        <v>450</v>
      </c>
      <c r="BJ40" s="343">
        <f t="shared" si="30"/>
        <v>0.3125</v>
      </c>
      <c r="BK40" s="346">
        <f>SUM(BI$10:BI40)</f>
        <v>10350</v>
      </c>
      <c r="BL40" s="345">
        <f>SUM(BJ$10:BJ40)</f>
        <v>7.1875</v>
      </c>
      <c r="BM40" s="346">
        <f t="shared" si="31"/>
        <v>-450</v>
      </c>
      <c r="BN40" s="347" t="str">
        <f t="shared" si="32"/>
        <v>-</v>
      </c>
      <c r="BO40" s="345">
        <f t="shared" si="47"/>
        <v>-0.3125</v>
      </c>
      <c r="BP40" s="346">
        <f>SUM(BM$10:BM40)</f>
        <v>-10350</v>
      </c>
      <c r="BQ40" s="347" t="str">
        <f t="shared" si="33"/>
        <v>-</v>
      </c>
      <c r="BR40" s="348">
        <f t="shared" si="34"/>
        <v>10350</v>
      </c>
      <c r="BS40" s="349" t="str">
        <f>IF(SUM($BO$10:BO40)&lt;0,TEXT(ABS(SUM($BO$10:BO40)),"-[h]:mm"),SUM($BO$10:BO40))</f>
        <v>-172:30</v>
      </c>
      <c r="BT40" s="124"/>
      <c r="BU40" s="125">
        <f t="shared" si="48"/>
        <v>0</v>
      </c>
      <c r="BV40" s="125">
        <f t="shared" si="51"/>
        <v>0</v>
      </c>
      <c r="BW40" s="125">
        <f t="shared" si="35"/>
        <v>0</v>
      </c>
      <c r="BX40" s="125">
        <f t="shared" si="36"/>
        <v>0</v>
      </c>
      <c r="BY40" s="125">
        <f t="shared" si="37"/>
        <v>0</v>
      </c>
      <c r="BZ40" s="125">
        <f t="shared" si="38"/>
        <v>0</v>
      </c>
      <c r="CA40" s="125">
        <f t="shared" si="39"/>
        <v>0</v>
      </c>
      <c r="CB40" s="125">
        <f t="shared" si="40"/>
        <v>0</v>
      </c>
      <c r="CC40" s="125">
        <f t="shared" si="49"/>
        <v>0</v>
      </c>
      <c r="CD40" s="74"/>
      <c r="CE40" s="125">
        <f t="shared" si="41"/>
        <v>0</v>
      </c>
    </row>
    <row r="41" spans="1:110" ht="19.5" customHeight="1" thickBot="1">
      <c r="A41" s="687" t="s">
        <v>253</v>
      </c>
      <c r="B41" s="688"/>
      <c r="C41" s="688"/>
      <c r="D41" s="689"/>
      <c r="E41" s="320">
        <f>COUNT(D10:D40)</f>
        <v>0</v>
      </c>
      <c r="F41" s="690" t="s">
        <v>43</v>
      </c>
      <c r="G41" s="691"/>
      <c r="H41" s="321">
        <f>SUM(H10:H40)</f>
        <v>0</v>
      </c>
      <c r="I41" s="322">
        <f>SUM(I10:I40)</f>
        <v>0</v>
      </c>
      <c r="J41" s="323">
        <f>SUM(J10:J40)</f>
        <v>7.1875</v>
      </c>
      <c r="K41" s="324">
        <f>SUM(K10:K40)</f>
        <v>0</v>
      </c>
      <c r="L41" s="325"/>
      <c r="M41" s="536">
        <f>SUM(L10:L40)</f>
        <v>0</v>
      </c>
      <c r="N41" s="326"/>
      <c r="O41" s="327" t="str">
        <f>作業時間報告書!BS41</f>
        <v>-172:30</v>
      </c>
      <c r="P41" s="692"/>
      <c r="Q41" s="693"/>
      <c r="R41" s="693"/>
      <c r="S41" s="694"/>
      <c r="T41" s="61"/>
      <c r="U41" s="45"/>
      <c r="V41" s="62"/>
      <c r="W41" s="62"/>
      <c r="X41" s="356" t="s">
        <v>118</v>
      </c>
      <c r="Y41" s="350"/>
      <c r="Z41" s="351"/>
      <c r="AA41" s="351"/>
      <c r="AB41" s="351"/>
      <c r="AC41" s="351"/>
      <c r="AD41" s="351"/>
      <c r="AE41" s="351"/>
      <c r="AF41" s="351"/>
      <c r="AG41" s="351"/>
      <c r="AH41" s="351"/>
      <c r="AI41" s="351"/>
      <c r="AJ41" s="351"/>
      <c r="AK41" s="351"/>
      <c r="AL41" s="351"/>
      <c r="AM41" s="351"/>
      <c r="AN41" s="351"/>
      <c r="AO41" s="351"/>
      <c r="AP41" s="351"/>
      <c r="AQ41" s="351"/>
      <c r="AR41" s="351"/>
      <c r="AS41" s="351"/>
      <c r="AT41" s="351"/>
      <c r="AU41" s="351"/>
      <c r="AV41" s="351"/>
      <c r="AW41" s="351"/>
      <c r="AX41" s="351"/>
      <c r="AY41" s="351"/>
      <c r="AZ41" s="352"/>
      <c r="BA41" s="352"/>
      <c r="BB41" s="351"/>
      <c r="BC41" s="351"/>
      <c r="BD41" s="351"/>
      <c r="BE41" s="351"/>
      <c r="BF41" s="351"/>
      <c r="BG41" s="353">
        <f>BH40</f>
        <v>0</v>
      </c>
      <c r="BH41" s="351"/>
      <c r="BI41" s="351"/>
      <c r="BJ41" s="354"/>
      <c r="BK41" s="354"/>
      <c r="BL41" s="351"/>
      <c r="BM41" s="351"/>
      <c r="BN41" s="351"/>
      <c r="BO41" s="355"/>
      <c r="BP41" s="354" t="str">
        <f>IF(BP40&lt;0,"-","")</f>
        <v>-</v>
      </c>
      <c r="BQ41" s="354"/>
      <c r="BR41" s="355"/>
      <c r="BS41" s="357" t="str">
        <f>BS40</f>
        <v>-172:30</v>
      </c>
      <c r="BT41" s="74"/>
      <c r="BU41" s="74"/>
      <c r="BV41" s="74"/>
      <c r="BW41" s="74"/>
      <c r="BX41" s="74"/>
      <c r="BY41" s="74"/>
      <c r="BZ41" s="74"/>
      <c r="CA41" s="74"/>
      <c r="CB41" s="74"/>
      <c r="CC41" s="74"/>
      <c r="CD41" s="74"/>
      <c r="CE41" s="74"/>
    </row>
    <row r="42" spans="1:110" ht="8.25" customHeight="1" thickBot="1">
      <c r="E42" s="43"/>
      <c r="F42" s="43"/>
      <c r="G42" s="43"/>
      <c r="H42" s="43"/>
      <c r="I42" s="43"/>
      <c r="J42" s="43"/>
      <c r="K42" s="43"/>
      <c r="L42" s="43"/>
      <c r="M42" s="58"/>
      <c r="N42" s="60"/>
      <c r="O42" s="61"/>
      <c r="P42" s="61"/>
      <c r="Q42" s="61"/>
      <c r="R42" s="61"/>
      <c r="S42" s="61"/>
      <c r="T42" s="61"/>
      <c r="U42" s="45"/>
      <c r="V42" s="62"/>
      <c r="W42" s="62"/>
      <c r="Y42" s="127"/>
      <c r="CD42" s="74"/>
    </row>
    <row r="43" spans="1:110" s="126" customFormat="1" ht="16.5" customHeight="1" thickBot="1">
      <c r="A43" s="695" t="s">
        <v>550</v>
      </c>
      <c r="B43" s="696"/>
      <c r="C43" s="696"/>
      <c r="D43" s="697"/>
      <c r="M43" s="59"/>
      <c r="N43" s="59"/>
      <c r="O43" s="59"/>
      <c r="P43" s="308"/>
      <c r="Q43" s="308"/>
      <c r="R43" s="308"/>
      <c r="S43" s="308"/>
      <c r="T43" s="42"/>
      <c r="U43" s="59"/>
      <c r="V43" s="59"/>
      <c r="W43" s="59"/>
      <c r="X43" s="59"/>
      <c r="Y43" s="127"/>
      <c r="Z43" s="127"/>
      <c r="AA43" s="127"/>
      <c r="AB43" s="127"/>
      <c r="CH43" s="296"/>
      <c r="CI43" s="25"/>
      <c r="CJ43" s="25"/>
      <c r="CK43" s="26"/>
      <c r="CL43" s="28"/>
      <c r="CM43" s="26"/>
      <c r="CN43" s="28"/>
      <c r="CO43" s="28"/>
      <c r="CP43" s="28"/>
      <c r="CQ43" s="28"/>
      <c r="CR43" s="28"/>
      <c r="CS43" s="27"/>
      <c r="CT43" s="27"/>
      <c r="CU43" s="27"/>
      <c r="CV43" s="27"/>
      <c r="CW43" s="27"/>
      <c r="CX43" s="27"/>
      <c r="CY43" s="27"/>
      <c r="CZ43" s="27"/>
      <c r="DA43" s="27"/>
      <c r="DB43" s="27"/>
      <c r="DC43" s="27"/>
      <c r="DD43" s="27"/>
      <c r="DE43" s="27"/>
      <c r="DF43" s="27"/>
    </row>
    <row r="44" spans="1:110" s="126" customFormat="1" ht="16.5" customHeight="1">
      <c r="A44" s="698"/>
      <c r="B44" s="699"/>
      <c r="C44" s="699"/>
      <c r="D44" s="699"/>
      <c r="E44" s="699"/>
      <c r="F44" s="699"/>
      <c r="G44" s="699"/>
      <c r="H44" s="699"/>
      <c r="I44" s="700"/>
      <c r="J44" s="537"/>
      <c r="K44" s="537"/>
      <c r="N44" s="59"/>
      <c r="O44" s="59"/>
      <c r="P44" s="307"/>
      <c r="Q44" s="309"/>
      <c r="R44" s="309"/>
      <c r="S44" s="309"/>
      <c r="T44" s="42"/>
      <c r="U44" s="681" t="s">
        <v>402</v>
      </c>
      <c r="V44" s="681" t="s">
        <v>403</v>
      </c>
      <c r="W44" s="59"/>
      <c r="X44" s="59"/>
      <c r="Y44" s="681" t="s">
        <v>404</v>
      </c>
      <c r="Z44" s="681" t="s">
        <v>405</v>
      </c>
      <c r="AA44" s="681" t="s">
        <v>406</v>
      </c>
      <c r="AB44" s="681" t="s">
        <v>407</v>
      </c>
      <c r="AC44" s="681" t="s">
        <v>408</v>
      </c>
      <c r="AD44" s="681" t="s">
        <v>409</v>
      </c>
      <c r="AE44" s="681" t="s">
        <v>410</v>
      </c>
      <c r="AF44" s="681" t="s">
        <v>411</v>
      </c>
      <c r="AG44" s="681" t="s">
        <v>412</v>
      </c>
      <c r="AH44" s="681" t="s">
        <v>413</v>
      </c>
      <c r="AI44" s="681" t="s">
        <v>414</v>
      </c>
      <c r="AJ44" s="681"/>
      <c r="AK44" s="681"/>
      <c r="AL44" s="681"/>
      <c r="AM44" s="681"/>
      <c r="AN44" s="681"/>
      <c r="AO44" s="681"/>
      <c r="AP44" s="681"/>
      <c r="AQ44" s="681"/>
      <c r="AR44" s="681"/>
      <c r="AS44" s="681"/>
      <c r="AT44" s="681"/>
      <c r="AU44" s="681"/>
      <c r="AV44" s="681"/>
      <c r="AW44" s="681"/>
      <c r="AX44" s="681"/>
      <c r="AY44" s="681" t="s">
        <v>415</v>
      </c>
      <c r="AZ44" s="681" t="s">
        <v>416</v>
      </c>
      <c r="BA44" s="681" t="s">
        <v>417</v>
      </c>
      <c r="BB44" s="681" t="s">
        <v>418</v>
      </c>
      <c r="BC44" s="681" t="s">
        <v>419</v>
      </c>
      <c r="BD44" s="681" t="s">
        <v>420</v>
      </c>
      <c r="BE44" s="681" t="s">
        <v>421</v>
      </c>
      <c r="BF44" s="681" t="s">
        <v>422</v>
      </c>
      <c r="BG44" s="681" t="s">
        <v>423</v>
      </c>
      <c r="BH44" s="681" t="s">
        <v>424</v>
      </c>
      <c r="BI44" s="681" t="s">
        <v>425</v>
      </c>
      <c r="BJ44" s="681" t="s">
        <v>426</v>
      </c>
      <c r="BK44" s="681" t="s">
        <v>427</v>
      </c>
      <c r="BL44" s="681" t="s">
        <v>428</v>
      </c>
      <c r="BM44" s="681" t="s">
        <v>425</v>
      </c>
      <c r="BN44" s="681" t="s">
        <v>429</v>
      </c>
      <c r="BO44" s="681" t="s">
        <v>426</v>
      </c>
      <c r="BP44" s="681" t="s">
        <v>427</v>
      </c>
      <c r="BQ44" s="681" t="s">
        <v>430</v>
      </c>
      <c r="BR44" s="681" t="s">
        <v>431</v>
      </c>
      <c r="BS44" s="681" t="s">
        <v>428</v>
      </c>
      <c r="BU44" s="681" t="s">
        <v>433</v>
      </c>
      <c r="BV44" s="681" t="s">
        <v>434</v>
      </c>
      <c r="BW44" s="681" t="s">
        <v>435</v>
      </c>
      <c r="BX44" s="681" t="s">
        <v>436</v>
      </c>
      <c r="BY44" s="681" t="s">
        <v>437</v>
      </c>
      <c r="BZ44" s="681" t="s">
        <v>438</v>
      </c>
      <c r="CA44" s="681" t="s">
        <v>439</v>
      </c>
      <c r="CB44" s="681" t="s">
        <v>440</v>
      </c>
      <c r="CC44" s="681" t="s">
        <v>441</v>
      </c>
      <c r="CE44" s="681" t="s">
        <v>442</v>
      </c>
      <c r="CH44" s="296"/>
      <c r="CI44" s="25"/>
      <c r="CJ44" s="25"/>
      <c r="CK44" s="26"/>
      <c r="CL44" s="28"/>
      <c r="CM44" s="26"/>
      <c r="CN44" s="28"/>
      <c r="CO44" s="28"/>
      <c r="CP44" s="28"/>
      <c r="CQ44" s="28"/>
      <c r="CR44" s="28"/>
      <c r="CS44" s="27"/>
      <c r="CT44" s="27"/>
      <c r="CU44" s="27"/>
      <c r="CV44" s="27"/>
      <c r="CW44" s="27"/>
      <c r="CX44" s="27"/>
      <c r="CY44" s="27"/>
      <c r="CZ44" s="27"/>
      <c r="DA44" s="27"/>
      <c r="DB44" s="27"/>
      <c r="DC44" s="27"/>
      <c r="DD44" s="27"/>
      <c r="DE44" s="27"/>
      <c r="DF44" s="27"/>
    </row>
    <row r="45" spans="1:110" s="126" customFormat="1" ht="16.5" customHeight="1">
      <c r="A45" s="701"/>
      <c r="B45" s="702"/>
      <c r="C45" s="702"/>
      <c r="D45" s="702"/>
      <c r="E45" s="702"/>
      <c r="F45" s="702"/>
      <c r="G45" s="702"/>
      <c r="H45" s="702"/>
      <c r="I45" s="703"/>
      <c r="J45" s="538"/>
      <c r="K45" s="538"/>
      <c r="N45" s="59"/>
      <c r="O45" s="59"/>
      <c r="P45" s="310"/>
      <c r="Q45" s="310"/>
      <c r="R45" s="310"/>
      <c r="S45" s="310"/>
      <c r="T45" s="42"/>
      <c r="U45" s="681"/>
      <c r="V45" s="682"/>
      <c r="W45" s="59"/>
      <c r="X45" s="59"/>
      <c r="Y45" s="682"/>
      <c r="Z45" s="682"/>
      <c r="AA45" s="682"/>
      <c r="AB45" s="682"/>
      <c r="AC45" s="682"/>
      <c r="AD45" s="682"/>
      <c r="AE45" s="682"/>
      <c r="AF45" s="682"/>
      <c r="AG45" s="682"/>
      <c r="AH45" s="682"/>
      <c r="AI45" s="682"/>
      <c r="AJ45" s="682"/>
      <c r="AK45" s="682"/>
      <c r="AL45" s="682"/>
      <c r="AM45" s="682"/>
      <c r="AN45" s="682"/>
      <c r="AO45" s="682"/>
      <c r="AP45" s="682"/>
      <c r="AQ45" s="682"/>
      <c r="AR45" s="682"/>
      <c r="AS45" s="682"/>
      <c r="AT45" s="682"/>
      <c r="AU45" s="682"/>
      <c r="AV45" s="682"/>
      <c r="AW45" s="682"/>
      <c r="AX45" s="682"/>
      <c r="AY45" s="682"/>
      <c r="AZ45" s="682"/>
      <c r="BA45" s="682"/>
      <c r="BB45" s="682"/>
      <c r="BC45" s="682"/>
      <c r="BD45" s="682"/>
      <c r="BE45" s="682"/>
      <c r="BF45" s="682"/>
      <c r="BG45" s="682"/>
      <c r="BH45" s="682"/>
      <c r="BI45" s="682"/>
      <c r="BJ45" s="682"/>
      <c r="BK45" s="682"/>
      <c r="BL45" s="682"/>
      <c r="BM45" s="682"/>
      <c r="BN45" s="682"/>
      <c r="BO45" s="682"/>
      <c r="BP45" s="682"/>
      <c r="BQ45" s="682"/>
      <c r="BR45" s="682"/>
      <c r="BS45" s="682"/>
      <c r="BU45" s="682"/>
      <c r="BV45" s="682"/>
      <c r="BW45" s="682"/>
      <c r="BX45" s="682"/>
      <c r="BY45" s="682"/>
      <c r="BZ45" s="682"/>
      <c r="CA45" s="682"/>
      <c r="CB45" s="682"/>
      <c r="CC45" s="682"/>
      <c r="CE45" s="682"/>
      <c r="CH45" s="296"/>
      <c r="CI45" s="25"/>
      <c r="CJ45" s="25"/>
      <c r="CK45" s="26"/>
      <c r="CL45" s="28"/>
      <c r="CM45" s="26"/>
      <c r="CN45" s="28"/>
      <c r="CO45" s="28"/>
      <c r="CP45" s="28"/>
      <c r="CQ45" s="28"/>
      <c r="CR45" s="28"/>
      <c r="CS45" s="27"/>
      <c r="CT45" s="27"/>
      <c r="CU45" s="27"/>
      <c r="CV45" s="27"/>
      <c r="CW45" s="27"/>
      <c r="CX45" s="27"/>
      <c r="CY45" s="27"/>
      <c r="CZ45" s="27"/>
      <c r="DA45" s="27"/>
      <c r="DB45" s="27"/>
      <c r="DC45" s="27"/>
      <c r="DD45" s="27"/>
      <c r="DE45" s="27"/>
      <c r="DF45" s="27"/>
    </row>
    <row r="46" spans="1:110" s="126" customFormat="1" ht="16.5" customHeight="1">
      <c r="A46" s="701"/>
      <c r="B46" s="702"/>
      <c r="C46" s="702"/>
      <c r="D46" s="702"/>
      <c r="E46" s="702"/>
      <c r="F46" s="702"/>
      <c r="G46" s="702"/>
      <c r="H46" s="702"/>
      <c r="I46" s="703"/>
      <c r="J46" s="538"/>
      <c r="K46" s="538"/>
      <c r="N46" s="59"/>
      <c r="O46" s="59"/>
      <c r="P46" s="310"/>
      <c r="Q46" s="310"/>
      <c r="R46" s="310"/>
      <c r="S46" s="310"/>
      <c r="T46" s="42"/>
      <c r="U46" s="681"/>
      <c r="V46" s="682"/>
      <c r="W46" s="59"/>
      <c r="X46" s="59"/>
      <c r="Y46" s="682"/>
      <c r="Z46" s="682"/>
      <c r="AA46" s="682"/>
      <c r="AB46" s="682"/>
      <c r="AC46" s="682"/>
      <c r="AD46" s="682"/>
      <c r="AE46" s="682"/>
      <c r="AF46" s="682"/>
      <c r="AG46" s="682"/>
      <c r="AH46" s="682"/>
      <c r="AI46" s="682"/>
      <c r="AJ46" s="682"/>
      <c r="AK46" s="682"/>
      <c r="AL46" s="682"/>
      <c r="AM46" s="682"/>
      <c r="AN46" s="682"/>
      <c r="AO46" s="682"/>
      <c r="AP46" s="682"/>
      <c r="AQ46" s="682"/>
      <c r="AR46" s="682"/>
      <c r="AS46" s="682"/>
      <c r="AT46" s="682"/>
      <c r="AU46" s="682"/>
      <c r="AV46" s="682"/>
      <c r="AW46" s="682"/>
      <c r="AX46" s="682"/>
      <c r="AY46" s="682"/>
      <c r="AZ46" s="682"/>
      <c r="BA46" s="682"/>
      <c r="BB46" s="682"/>
      <c r="BC46" s="682"/>
      <c r="BD46" s="682"/>
      <c r="BE46" s="682"/>
      <c r="BF46" s="682"/>
      <c r="BG46" s="682"/>
      <c r="BH46" s="682"/>
      <c r="BI46" s="682"/>
      <c r="BJ46" s="682"/>
      <c r="BK46" s="682"/>
      <c r="BL46" s="682"/>
      <c r="BM46" s="682"/>
      <c r="BN46" s="682"/>
      <c r="BO46" s="682"/>
      <c r="BP46" s="682"/>
      <c r="BQ46" s="682"/>
      <c r="BR46" s="682"/>
      <c r="BS46" s="682"/>
      <c r="BU46" s="682"/>
      <c r="BV46" s="682"/>
      <c r="BW46" s="682"/>
      <c r="BX46" s="682"/>
      <c r="BY46" s="682"/>
      <c r="BZ46" s="682"/>
      <c r="CA46" s="682"/>
      <c r="CB46" s="682"/>
      <c r="CC46" s="682"/>
      <c r="CE46" s="682"/>
      <c r="CH46" s="296"/>
      <c r="CI46" s="25"/>
      <c r="CJ46" s="25"/>
      <c r="CK46" s="26"/>
      <c r="CL46" s="28"/>
      <c r="CM46" s="26"/>
      <c r="CN46" s="28"/>
      <c r="CO46" s="28"/>
      <c r="CP46" s="28"/>
      <c r="CQ46" s="28"/>
      <c r="CR46" s="28"/>
      <c r="CS46" s="27"/>
      <c r="CT46" s="27"/>
      <c r="CU46" s="27"/>
      <c r="CV46" s="27"/>
      <c r="CW46" s="27"/>
      <c r="CX46" s="27"/>
      <c r="CY46" s="27"/>
      <c r="CZ46" s="27"/>
      <c r="DA46" s="27"/>
      <c r="DB46" s="27"/>
      <c r="DC46" s="27"/>
      <c r="DD46" s="27"/>
      <c r="DE46" s="27"/>
      <c r="DF46" s="27"/>
    </row>
    <row r="47" spans="1:110" s="126" customFormat="1" ht="16.5" customHeight="1" thickBot="1">
      <c r="A47" s="704"/>
      <c r="B47" s="705"/>
      <c r="C47" s="705"/>
      <c r="D47" s="705"/>
      <c r="E47" s="705"/>
      <c r="F47" s="705"/>
      <c r="G47" s="705"/>
      <c r="H47" s="705"/>
      <c r="I47" s="706"/>
      <c r="J47" s="539"/>
      <c r="K47" s="539"/>
      <c r="N47" s="59"/>
      <c r="O47" s="59"/>
      <c r="P47" s="310"/>
      <c r="Q47" s="310"/>
      <c r="R47" s="310"/>
      <c r="S47" s="310"/>
      <c r="T47" s="42"/>
      <c r="U47" s="681"/>
      <c r="V47" s="682"/>
      <c r="W47" s="59"/>
      <c r="X47" s="59"/>
      <c r="Y47" s="682"/>
      <c r="Z47" s="682"/>
      <c r="AA47" s="682"/>
      <c r="AB47" s="682"/>
      <c r="AC47" s="682"/>
      <c r="AD47" s="682"/>
      <c r="AE47" s="682"/>
      <c r="AF47" s="682"/>
      <c r="AG47" s="682"/>
      <c r="AH47" s="682"/>
      <c r="AI47" s="682"/>
      <c r="AJ47" s="682"/>
      <c r="AK47" s="682"/>
      <c r="AL47" s="682"/>
      <c r="AM47" s="682"/>
      <c r="AN47" s="682"/>
      <c r="AO47" s="682"/>
      <c r="AP47" s="682"/>
      <c r="AQ47" s="682"/>
      <c r="AR47" s="682"/>
      <c r="AS47" s="682"/>
      <c r="AT47" s="682"/>
      <c r="AU47" s="682"/>
      <c r="AV47" s="682"/>
      <c r="AW47" s="682"/>
      <c r="AX47" s="682"/>
      <c r="AY47" s="682"/>
      <c r="AZ47" s="682"/>
      <c r="BA47" s="682"/>
      <c r="BB47" s="682"/>
      <c r="BC47" s="682"/>
      <c r="BD47" s="682"/>
      <c r="BE47" s="682"/>
      <c r="BF47" s="682"/>
      <c r="BG47" s="682"/>
      <c r="BH47" s="682"/>
      <c r="BI47" s="682"/>
      <c r="BJ47" s="682"/>
      <c r="BK47" s="682"/>
      <c r="BL47" s="682"/>
      <c r="BM47" s="682"/>
      <c r="BN47" s="682"/>
      <c r="BO47" s="682"/>
      <c r="BP47" s="682"/>
      <c r="BQ47" s="682"/>
      <c r="BR47" s="682"/>
      <c r="BS47" s="682"/>
      <c r="BU47" s="682"/>
      <c r="BV47" s="682"/>
      <c r="BW47" s="682"/>
      <c r="BX47" s="682"/>
      <c r="BY47" s="682"/>
      <c r="BZ47" s="682"/>
      <c r="CA47" s="682"/>
      <c r="CB47" s="682"/>
      <c r="CC47" s="682"/>
      <c r="CE47" s="682"/>
      <c r="CH47" s="296"/>
      <c r="CI47" s="25"/>
      <c r="CJ47" s="25"/>
      <c r="CK47" s="26"/>
      <c r="CL47" s="28"/>
      <c r="CM47" s="26"/>
      <c r="CN47" s="28"/>
      <c r="CO47" s="28"/>
      <c r="CP47" s="28"/>
      <c r="CQ47" s="28"/>
      <c r="CR47" s="28"/>
      <c r="CS47" s="27"/>
      <c r="CT47" s="27"/>
      <c r="CU47" s="27"/>
      <c r="CV47" s="27"/>
      <c r="CW47" s="27"/>
      <c r="CX47" s="27"/>
      <c r="CY47" s="27"/>
      <c r="CZ47" s="27"/>
      <c r="DA47" s="27"/>
      <c r="DB47" s="27"/>
      <c r="DC47" s="27"/>
      <c r="DD47" s="27"/>
      <c r="DE47" s="27"/>
      <c r="DF47" s="27"/>
    </row>
    <row r="48" spans="1:110" s="126" customFormat="1" ht="24" customHeight="1">
      <c r="A48"/>
      <c r="B48"/>
      <c r="C48"/>
      <c r="D48"/>
      <c r="E48"/>
      <c r="F48"/>
      <c r="G48"/>
      <c r="H48"/>
      <c r="I48"/>
      <c r="J48"/>
      <c r="K48"/>
      <c r="L48" s="707">
        <v>7.179999828338623</v>
      </c>
      <c r="M48" s="707"/>
      <c r="N48" s="59"/>
      <c r="O48" s="59"/>
      <c r="P48" s="130"/>
      <c r="Q48"/>
      <c r="R48"/>
      <c r="S48" s="126" t="s">
        <v>634</v>
      </c>
      <c r="T48" s="42"/>
      <c r="U48" s="681"/>
      <c r="V48" s="682"/>
      <c r="W48" s="59"/>
      <c r="X48" s="59"/>
      <c r="Y48" s="682"/>
      <c r="Z48" s="682"/>
      <c r="AA48" s="682"/>
      <c r="AB48" s="682"/>
      <c r="AC48" s="682"/>
      <c r="AD48" s="682"/>
      <c r="AE48" s="682"/>
      <c r="AF48" s="682"/>
      <c r="AG48" s="682"/>
      <c r="AH48" s="682"/>
      <c r="AI48" s="682"/>
      <c r="AJ48" s="682"/>
      <c r="AK48" s="682"/>
      <c r="AL48" s="682"/>
      <c r="AM48" s="682"/>
      <c r="AN48" s="682"/>
      <c r="AO48" s="682"/>
      <c r="AP48" s="682"/>
      <c r="AQ48" s="682"/>
      <c r="AR48" s="682"/>
      <c r="AS48" s="682"/>
      <c r="AT48" s="682"/>
      <c r="AU48" s="682"/>
      <c r="AV48" s="682"/>
      <c r="AW48" s="682"/>
      <c r="AX48" s="682"/>
      <c r="AY48" s="682"/>
      <c r="AZ48" s="682"/>
      <c r="BA48" s="682"/>
      <c r="BB48" s="682"/>
      <c r="BC48" s="682"/>
      <c r="BD48" s="682"/>
      <c r="BE48" s="682"/>
      <c r="BF48" s="682"/>
      <c r="BG48" s="682"/>
      <c r="BH48" s="682"/>
      <c r="BI48" s="682"/>
      <c r="BJ48" s="682"/>
      <c r="BK48" s="682"/>
      <c r="BL48" s="682"/>
      <c r="BM48" s="682"/>
      <c r="BN48" s="682"/>
      <c r="BO48" s="682"/>
      <c r="BP48" s="682"/>
      <c r="BQ48" s="682"/>
      <c r="BR48" s="682"/>
      <c r="BS48" s="682"/>
      <c r="BU48" s="682"/>
      <c r="BV48" s="682"/>
      <c r="BW48" s="682"/>
      <c r="BX48" s="682"/>
      <c r="BY48" s="682"/>
      <c r="BZ48" s="682"/>
      <c r="CA48" s="682"/>
      <c r="CB48" s="682"/>
      <c r="CC48" s="682"/>
      <c r="CE48" s="682"/>
      <c r="CH48" s="296"/>
      <c r="CI48" s="25"/>
      <c r="CJ48" s="25"/>
      <c r="CK48" s="26"/>
      <c r="CL48" s="28"/>
      <c r="CM48" s="26"/>
      <c r="CN48" s="28"/>
      <c r="CO48" s="28"/>
      <c r="CP48" s="28"/>
      <c r="CQ48" s="28"/>
      <c r="CR48" s="28"/>
      <c r="CS48" s="27"/>
      <c r="CT48" s="27"/>
      <c r="CU48" s="27"/>
      <c r="CV48" s="27"/>
      <c r="CW48" s="27"/>
      <c r="CX48" s="27"/>
      <c r="CY48" s="27"/>
      <c r="CZ48" s="27"/>
      <c r="DA48" s="27"/>
      <c r="DB48" s="27"/>
      <c r="DC48" s="27"/>
      <c r="DD48" s="27"/>
      <c r="DE48" s="27"/>
      <c r="DF48" s="27"/>
    </row>
    <row r="50" spans="18:18">
      <c r="R50" s="492"/>
    </row>
  </sheetData>
  <sheetProtection password="CAE0" sheet="1" objects="1" scenarios="1"/>
  <mergeCells count="113">
    <mergeCell ref="B2:F2"/>
    <mergeCell ref="I3:M3"/>
    <mergeCell ref="P3:S3"/>
    <mergeCell ref="I4:M4"/>
    <mergeCell ref="P4:S4"/>
    <mergeCell ref="I5:M5"/>
    <mergeCell ref="P11:S11"/>
    <mergeCell ref="P12:S12"/>
    <mergeCell ref="P13:S13"/>
    <mergeCell ref="P14:S14"/>
    <mergeCell ref="P15:S15"/>
    <mergeCell ref="P16:S16"/>
    <mergeCell ref="I6:L6"/>
    <mergeCell ref="I7:M7"/>
    <mergeCell ref="D9:F9"/>
    <mergeCell ref="N9:O9"/>
    <mergeCell ref="P9:S9"/>
    <mergeCell ref="P10:S10"/>
    <mergeCell ref="P23:S23"/>
    <mergeCell ref="P24:S24"/>
    <mergeCell ref="P25:S25"/>
    <mergeCell ref="P26:S26"/>
    <mergeCell ref="P27:S27"/>
    <mergeCell ref="P28:S28"/>
    <mergeCell ref="P17:S17"/>
    <mergeCell ref="P18:S18"/>
    <mergeCell ref="P19:S19"/>
    <mergeCell ref="P20:S20"/>
    <mergeCell ref="P21:S21"/>
    <mergeCell ref="P22:S22"/>
    <mergeCell ref="P35:S35"/>
    <mergeCell ref="P36:S36"/>
    <mergeCell ref="P37:S37"/>
    <mergeCell ref="P38:S38"/>
    <mergeCell ref="P39:S39"/>
    <mergeCell ref="P40:S40"/>
    <mergeCell ref="P29:S29"/>
    <mergeCell ref="P30:S30"/>
    <mergeCell ref="P31:S31"/>
    <mergeCell ref="P32:S32"/>
    <mergeCell ref="P33:S33"/>
    <mergeCell ref="P34:S34"/>
    <mergeCell ref="A41:D41"/>
    <mergeCell ref="F41:G41"/>
    <mergeCell ref="P41:S41"/>
    <mergeCell ref="A43:D43"/>
    <mergeCell ref="U44:U48"/>
    <mergeCell ref="V44:V48"/>
    <mergeCell ref="A44:I44"/>
    <mergeCell ref="A45:I45"/>
    <mergeCell ref="A46:I46"/>
    <mergeCell ref="A47:I47"/>
    <mergeCell ref="L48:M48"/>
    <mergeCell ref="AE44:AE48"/>
    <mergeCell ref="AF44:AF48"/>
    <mergeCell ref="AG44:AG48"/>
    <mergeCell ref="AH44:AH48"/>
    <mergeCell ref="AI44:AI48"/>
    <mergeCell ref="AJ44:AJ48"/>
    <mergeCell ref="Y44:Y48"/>
    <mergeCell ref="Z44:Z48"/>
    <mergeCell ref="AA44:AA48"/>
    <mergeCell ref="AB44:AB48"/>
    <mergeCell ref="AC44:AC48"/>
    <mergeCell ref="AD44:AD48"/>
    <mergeCell ref="AQ44:AQ48"/>
    <mergeCell ref="AR44:AR48"/>
    <mergeCell ref="AS44:AS48"/>
    <mergeCell ref="AT44:AT48"/>
    <mergeCell ref="AU44:AU48"/>
    <mergeCell ref="AV44:AV48"/>
    <mergeCell ref="AK44:AK48"/>
    <mergeCell ref="AL44:AL48"/>
    <mergeCell ref="AM44:AM48"/>
    <mergeCell ref="AN44:AN48"/>
    <mergeCell ref="AO44:AO48"/>
    <mergeCell ref="AP44:AP48"/>
    <mergeCell ref="BC44:BC48"/>
    <mergeCell ref="BD44:BD48"/>
    <mergeCell ref="BE44:BE48"/>
    <mergeCell ref="BF44:BF48"/>
    <mergeCell ref="BG44:BG48"/>
    <mergeCell ref="BH44:BH48"/>
    <mergeCell ref="AW44:AW48"/>
    <mergeCell ref="AX44:AX48"/>
    <mergeCell ref="AY44:AY48"/>
    <mergeCell ref="AZ44:AZ48"/>
    <mergeCell ref="BA44:BA48"/>
    <mergeCell ref="BB44:BB48"/>
    <mergeCell ref="CB44:CB48"/>
    <mergeCell ref="CC44:CC48"/>
    <mergeCell ref="CE44:CE48"/>
    <mergeCell ref="P5:S5"/>
    <mergeCell ref="P6:R6"/>
    <mergeCell ref="P7:S7"/>
    <mergeCell ref="BV44:BV48"/>
    <mergeCell ref="BW44:BW48"/>
    <mergeCell ref="BX44:BX48"/>
    <mergeCell ref="BY44:BY48"/>
    <mergeCell ref="BZ44:BZ48"/>
    <mergeCell ref="CA44:CA48"/>
    <mergeCell ref="BO44:BO48"/>
    <mergeCell ref="BP44:BP48"/>
    <mergeCell ref="BQ44:BQ48"/>
    <mergeCell ref="BR44:BR48"/>
    <mergeCell ref="BS44:BS48"/>
    <mergeCell ref="BU44:BU48"/>
    <mergeCell ref="BI44:BI48"/>
    <mergeCell ref="BJ44:BJ48"/>
    <mergeCell ref="BK44:BK48"/>
    <mergeCell ref="BL44:BL48"/>
    <mergeCell ref="BM44:BM48"/>
    <mergeCell ref="BN44:BN48"/>
  </mergeCells>
  <phoneticPr fontId="24"/>
  <conditionalFormatting sqref="A10:A40 X10:X39">
    <cfRule type="expression" dxfId="44" priority="1" stopIfTrue="1">
      <formula>WEEKDAY($A10)=1</formula>
    </cfRule>
    <cfRule type="expression" dxfId="43" priority="2" stopIfTrue="1">
      <formula>WEEKDAY($A10)=7</formula>
    </cfRule>
    <cfRule type="expression" dxfId="42" priority="3" stopIfTrue="1">
      <formula>ISNA(MATCH(A10,休日カレンダ,FALSE))=FALSE</formula>
    </cfRule>
  </conditionalFormatting>
  <conditionalFormatting sqref="F10:F40 I10:I40 D10:D40">
    <cfRule type="expression" dxfId="41" priority="4" stopIfTrue="1">
      <formula>$U10=1</formula>
    </cfRule>
  </conditionalFormatting>
  <conditionalFormatting sqref="T10:T40">
    <cfRule type="expression" dxfId="40" priority="5" stopIfTrue="1">
      <formula>$V10</formula>
    </cfRule>
  </conditionalFormatting>
  <conditionalFormatting sqref="H10:H40">
    <cfRule type="expression" dxfId="39" priority="6" stopIfTrue="1">
      <formula>$V10</formula>
    </cfRule>
    <cfRule type="expression" dxfId="38" priority="7" stopIfTrue="1">
      <formula>$U10=1</formula>
    </cfRule>
  </conditionalFormatting>
  <conditionalFormatting sqref="G10:G40">
    <cfRule type="expression" dxfId="37" priority="8" stopIfTrue="1">
      <formula>IF($Q$2=1,0,IF($G10="法休",1))</formula>
    </cfRule>
    <cfRule type="expression" dxfId="36" priority="9" stopIfTrue="1">
      <formula>$U10=1</formula>
    </cfRule>
  </conditionalFormatting>
  <conditionalFormatting sqref="A7:F7">
    <cfRule type="expression" dxfId="35" priority="10" stopIfTrue="1">
      <formula>$Q$2=1</formula>
    </cfRule>
  </conditionalFormatting>
  <dataValidations count="7">
    <dataValidation imeMode="hiragana" allowBlank="1" showInputMessage="1" showErrorMessage="1" sqref="Q44:S44 P45:S47" xr:uid="{00000000-0002-0000-0200-000000000000}"/>
    <dataValidation type="time" imeMode="off" operator="greaterThanOrEqual" allowBlank="1" showInputMessage="1" showErrorMessage="1" sqref="F10:F40 H10:I40 D10:D40" xr:uid="{00000000-0002-0000-0200-000001000000}">
      <formula1>0</formula1>
    </dataValidation>
    <dataValidation type="list" allowBlank="1" showInputMessage="1" showErrorMessage="1" sqref="G10:G40" xr:uid="{00000000-0002-0000-0200-000002000000}">
      <formula1>"未実施"</formula1>
    </dataValidation>
    <dataValidation imeMode="off" allowBlank="1" showInputMessage="1" showErrorMessage="1" errorTitle="入力エラー" error="選択し～選択して下さい。" sqref="O10:O40 K10:K40" xr:uid="{00000000-0002-0000-0200-000003000000}"/>
    <dataValidation type="whole" showInputMessage="1" showErrorMessage="1" sqref="Q2:R2" xr:uid="{00000000-0002-0000-0200-000004000000}">
      <formula1>1</formula1>
      <formula2>20</formula2>
    </dataValidation>
    <dataValidation imeMode="hiragana" allowBlank="1" sqref="P10:S40" xr:uid="{00000000-0002-0000-0200-000005000000}"/>
    <dataValidation type="textLength" imeMode="hiragana" operator="lessThanOrEqual" allowBlank="1" showInputMessage="1" showErrorMessage="1" errorTitle="入力文字数制限" error="２５５文字以内で入力してください。" sqref="A44:A47" xr:uid="{00000000-0002-0000-0200-000006000000}">
      <formula1>256</formula1>
    </dataValidation>
  </dataValidations>
  <pageMargins left="0.59055118110236227" right="0" top="0.59055118110236227" bottom="0" header="0" footer="0"/>
  <pageSetup paperSize="9" orientation="portrait" blackAndWhite="1" horizontalDpi="1200" verticalDpi="1200" r:id="rId1"/>
  <headerFooter alignWithMargins="0">
    <oddFooter>&amp;L&amp;"ＭＳ Ｐゴシック,斜体"&amp;9Printing by &amp;D</oddFoot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pageSetUpPr autoPageBreaks="0"/>
  </sheetPr>
  <dimension ref="A1:AD55"/>
  <sheetViews>
    <sheetView showGridLines="0" showRowColHeaders="0" showOutlineSymbols="0" topLeftCell="C1" zoomScaleNormal="100" workbookViewId="0">
      <selection activeCell="D10" sqref="D10"/>
    </sheetView>
  </sheetViews>
  <sheetFormatPr defaultColWidth="0" defaultRowHeight="12" zeroHeight="1"/>
  <cols>
    <col min="1" max="2" width="2.375" style="59" hidden="1" customWidth="1"/>
    <col min="3" max="3" width="7.75" style="152" customWidth="1"/>
    <col min="4" max="4" width="7.875" style="152" customWidth="1"/>
    <col min="5" max="5" width="3.25" style="152" customWidth="1"/>
    <col min="6" max="6" width="7.875" style="152" customWidth="1"/>
    <col min="7" max="8" width="7.75" style="152" customWidth="1"/>
    <col min="9" max="9" width="5.25" style="152" hidden="1" customWidth="1"/>
    <col min="10" max="10" width="8.125" style="152" hidden="1" customWidth="1"/>
    <col min="11" max="13" width="7.75" style="152" customWidth="1"/>
    <col min="14" max="14" width="4.75" style="152" hidden="1" customWidth="1"/>
    <col min="15" max="15" width="11.75" style="152" customWidth="1"/>
    <col min="16" max="17" width="5.875" style="152" customWidth="1"/>
    <col min="18" max="18" width="5.375" style="42" customWidth="1"/>
    <col min="19" max="19" width="4.625" style="42" customWidth="1"/>
    <col min="20" max="20" width="6" style="59" customWidth="1"/>
    <col min="21" max="21" width="5.375" style="59" customWidth="1"/>
    <col min="22" max="22" width="6" style="59" customWidth="1"/>
    <col min="23" max="23" width="6.5" style="59" customWidth="1"/>
    <col min="24" max="24" width="5.5" style="127" customWidth="1"/>
    <col min="25" max="25" width="5.625" style="127" customWidth="1"/>
    <col min="26" max="26" width="5.75" style="127" customWidth="1"/>
    <col min="27" max="27" width="0.75" style="127" customWidth="1"/>
    <col min="28" max="28" width="2.625" style="151" customWidth="1"/>
    <col min="29" max="30" width="3.625" style="151" hidden="1" customWidth="1"/>
    <col min="31" max="16384" width="9" style="151" hidden="1"/>
  </cols>
  <sheetData>
    <row r="1" spans="1:27" ht="28.5" customHeight="1">
      <c r="C1" s="151"/>
      <c r="D1" s="151"/>
      <c r="E1" s="151"/>
      <c r="F1" s="151"/>
      <c r="G1" s="754" t="s">
        <v>258</v>
      </c>
      <c r="H1" s="754"/>
      <c r="I1" s="754"/>
      <c r="J1" s="754"/>
      <c r="K1" s="754"/>
      <c r="L1" s="754"/>
      <c r="M1" s="754"/>
      <c r="N1" s="290"/>
      <c r="O1" s="290"/>
      <c r="P1" s="151"/>
      <c r="Q1" s="151"/>
      <c r="T1" s="42"/>
      <c r="U1" s="42"/>
      <c r="V1" s="42"/>
      <c r="W1" s="42"/>
      <c r="X1" s="178"/>
      <c r="Y1" s="178"/>
      <c r="Z1" s="178"/>
      <c r="AA1" s="178"/>
    </row>
    <row r="2" spans="1:27" s="181" customFormat="1" ht="18" customHeight="1" thickBot="1">
      <c r="A2" s="179"/>
      <c r="B2" s="742">
        <v>39904</v>
      </c>
      <c r="C2" s="742"/>
      <c r="D2" s="742"/>
      <c r="E2" s="742"/>
      <c r="F2" s="742"/>
      <c r="I2" s="182"/>
      <c r="J2" s="182"/>
      <c r="K2" s="182"/>
      <c r="L2" s="182"/>
      <c r="M2" s="182"/>
      <c r="N2" s="182"/>
      <c r="O2" s="182"/>
      <c r="Q2" s="183"/>
      <c r="R2" s="179"/>
      <c r="S2" s="179"/>
      <c r="T2" s="179"/>
      <c r="U2" s="179"/>
      <c r="V2" s="179"/>
      <c r="W2" s="179"/>
      <c r="X2" s="184"/>
      <c r="Y2" s="184"/>
      <c r="Z2" s="184"/>
      <c r="AA2" s="184"/>
    </row>
    <row r="3" spans="1:27" ht="13.5" customHeight="1">
      <c r="C3" s="198"/>
      <c r="D3" s="198"/>
      <c r="E3" s="151"/>
      <c r="F3" s="151"/>
      <c r="G3" s="151"/>
      <c r="H3" s="151"/>
      <c r="I3" s="185"/>
      <c r="J3" s="186"/>
      <c r="K3" s="745" t="s">
        <v>2</v>
      </c>
      <c r="L3" s="746"/>
      <c r="M3" s="755"/>
      <c r="N3" s="756"/>
      <c r="O3" s="756"/>
      <c r="P3" s="756"/>
      <c r="Q3" s="757"/>
    </row>
    <row r="4" spans="1:27" ht="13.5" customHeight="1">
      <c r="I4" s="187"/>
      <c r="J4" s="188"/>
      <c r="K4" s="747" t="s">
        <v>3</v>
      </c>
      <c r="L4" s="748"/>
      <c r="M4" s="758"/>
      <c r="N4" s="759"/>
      <c r="O4" s="759"/>
      <c r="P4" s="759"/>
      <c r="Q4" s="760"/>
    </row>
    <row r="5" spans="1:27" ht="13.5" customHeight="1">
      <c r="I5" s="187"/>
      <c r="J5" s="188"/>
      <c r="K5" s="749" t="s">
        <v>4</v>
      </c>
      <c r="L5" s="750"/>
      <c r="M5" s="758"/>
      <c r="N5" s="759"/>
      <c r="O5" s="759"/>
      <c r="P5" s="759"/>
      <c r="Q5" s="760"/>
    </row>
    <row r="6" spans="1:27" ht="13.5" customHeight="1">
      <c r="H6" s="151"/>
      <c r="I6" s="187"/>
      <c r="J6" s="188"/>
      <c r="K6" s="749" t="s">
        <v>252</v>
      </c>
      <c r="L6" s="750"/>
      <c r="M6" s="758"/>
      <c r="N6" s="759"/>
      <c r="O6" s="759"/>
      <c r="P6" s="759"/>
      <c r="Q6" s="153" t="s">
        <v>0</v>
      </c>
    </row>
    <row r="7" spans="1:27" ht="13.5" customHeight="1" thickBot="1">
      <c r="C7" s="261" t="s">
        <v>227</v>
      </c>
      <c r="D7" s="753"/>
      <c r="E7" s="753"/>
      <c r="F7" s="753"/>
      <c r="G7" s="753"/>
      <c r="H7" s="753"/>
      <c r="I7" s="189"/>
      <c r="J7" s="189"/>
      <c r="K7" s="751" t="s">
        <v>5</v>
      </c>
      <c r="L7" s="752"/>
      <c r="M7" s="761"/>
      <c r="N7" s="762"/>
      <c r="O7" s="762"/>
      <c r="P7" s="762"/>
      <c r="Q7" s="763"/>
    </row>
    <row r="8" spans="1:27" ht="8.25" customHeight="1" thickTop="1" thickBot="1">
      <c r="C8" s="151"/>
      <c r="D8" s="151"/>
      <c r="E8" s="154"/>
      <c r="F8" s="154"/>
      <c r="G8" s="154"/>
      <c r="H8" s="155"/>
      <c r="I8" s="189"/>
      <c r="J8" s="189"/>
      <c r="K8" s="151"/>
      <c r="L8" s="151"/>
      <c r="M8" s="151"/>
      <c r="N8" s="151"/>
      <c r="O8" s="151"/>
      <c r="P8" s="151"/>
      <c r="Q8" s="151"/>
    </row>
    <row r="9" spans="1:27" s="190" customFormat="1" ht="24.75" customHeight="1" thickBot="1">
      <c r="A9" s="59"/>
      <c r="B9" s="59"/>
      <c r="C9" s="267" t="s">
        <v>248</v>
      </c>
      <c r="D9" s="740" t="s">
        <v>175</v>
      </c>
      <c r="E9" s="743"/>
      <c r="F9" s="744"/>
      <c r="G9" s="269" t="s">
        <v>249</v>
      </c>
      <c r="H9" s="143" t="s">
        <v>230</v>
      </c>
      <c r="I9" s="270" t="s">
        <v>250</v>
      </c>
      <c r="J9" s="270" t="s">
        <v>250</v>
      </c>
      <c r="K9" s="270" t="s">
        <v>251</v>
      </c>
      <c r="L9" s="268" t="s">
        <v>287</v>
      </c>
      <c r="M9" s="269" t="s">
        <v>286</v>
      </c>
      <c r="N9" s="270" t="s">
        <v>188</v>
      </c>
      <c r="O9" s="739" t="s">
        <v>42</v>
      </c>
      <c r="P9" s="740"/>
      <c r="Q9" s="741"/>
      <c r="R9" s="42"/>
      <c r="S9" s="42"/>
      <c r="T9" s="263" t="s">
        <v>46</v>
      </c>
      <c r="U9" s="59"/>
      <c r="V9" s="59"/>
      <c r="W9" s="59"/>
      <c r="X9" s="127"/>
      <c r="Y9" s="127"/>
      <c r="Z9" s="127"/>
      <c r="AA9" s="127"/>
    </row>
    <row r="10" spans="1:27" ht="18" customHeight="1" thickTop="1" thickBot="1">
      <c r="C10" s="262">
        <f>B2</f>
        <v>39904</v>
      </c>
      <c r="D10" s="67"/>
      <c r="E10" s="68" t="s">
        <v>1</v>
      </c>
      <c r="F10" s="69"/>
      <c r="G10" s="271"/>
      <c r="H10" s="50"/>
      <c r="I10" s="272"/>
      <c r="J10" s="191"/>
      <c r="K10" s="281"/>
      <c r="L10" s="281"/>
      <c r="M10" s="156">
        <f>L10</f>
        <v>0</v>
      </c>
      <c r="N10" s="192">
        <f>実労先頭-基準先頭</f>
        <v>-1</v>
      </c>
      <c r="O10" s="764"/>
      <c r="P10" s="765"/>
      <c r="Q10" s="766"/>
      <c r="T10" s="59">
        <f>IF(C10="","",IF(AND(WEEKDAY(C10)&gt;1,WEEKDAY(C10)&lt;7),1,0))</f>
        <v>1</v>
      </c>
    </row>
    <row r="11" spans="1:27" ht="18" customHeight="1" thickTop="1" thickBot="1">
      <c r="C11" s="53">
        <f>C10+1</f>
        <v>39905</v>
      </c>
      <c r="D11" s="67"/>
      <c r="E11" s="68" t="s">
        <v>1</v>
      </c>
      <c r="F11" s="69"/>
      <c r="G11" s="271"/>
      <c r="H11" s="50"/>
      <c r="I11" s="272"/>
      <c r="J11" s="191"/>
      <c r="K11" s="272"/>
      <c r="L11" s="272"/>
      <c r="M11" s="157">
        <f>SUM(L$10:L11)</f>
        <v>0</v>
      </c>
      <c r="N11" s="193">
        <f>SUM(実労先頭:R11)-SUM(T$10:T11)</f>
        <v>-2</v>
      </c>
      <c r="O11" s="736"/>
      <c r="P11" s="737"/>
      <c r="Q11" s="738"/>
      <c r="T11" s="59">
        <f t="shared" ref="T11:T40" si="0">IF(C11="","",IF(AND(WEEKDAY(C11)&gt;1,WEEKDAY(C11)&lt;7),1,0))</f>
        <v>1</v>
      </c>
    </row>
    <row r="12" spans="1:27" ht="18" customHeight="1" thickTop="1" thickBot="1">
      <c r="C12" s="53">
        <f t="shared" ref="C12:C34" si="1">C11+1</f>
        <v>39906</v>
      </c>
      <c r="D12" s="67"/>
      <c r="E12" s="68" t="s">
        <v>1</v>
      </c>
      <c r="F12" s="69"/>
      <c r="G12" s="271"/>
      <c r="H12" s="50"/>
      <c r="I12" s="272"/>
      <c r="J12" s="191"/>
      <c r="K12" s="272"/>
      <c r="L12" s="272"/>
      <c r="M12" s="157">
        <f>SUM(L$10:L12)</f>
        <v>0</v>
      </c>
      <c r="N12" s="193">
        <f>SUM(実労先頭:R12)-SUM(T$10:T12)</f>
        <v>-3</v>
      </c>
      <c r="O12" s="736"/>
      <c r="P12" s="737"/>
      <c r="Q12" s="738"/>
      <c r="T12" s="59">
        <f t="shared" si="0"/>
        <v>1</v>
      </c>
    </row>
    <row r="13" spans="1:27" ht="18" customHeight="1" thickTop="1" thickBot="1">
      <c r="C13" s="53">
        <f t="shared" si="1"/>
        <v>39907</v>
      </c>
      <c r="D13" s="67"/>
      <c r="E13" s="68" t="s">
        <v>1</v>
      </c>
      <c r="F13" s="69"/>
      <c r="G13" s="271"/>
      <c r="H13" s="50"/>
      <c r="I13" s="272"/>
      <c r="J13" s="191"/>
      <c r="K13" s="272"/>
      <c r="L13" s="272"/>
      <c r="M13" s="157">
        <f>SUM(L$10:L13)</f>
        <v>0</v>
      </c>
      <c r="N13" s="193">
        <f>SUM(実労先頭:R13)-SUM(T$10:T13)</f>
        <v>-3</v>
      </c>
      <c r="O13" s="736"/>
      <c r="P13" s="737"/>
      <c r="Q13" s="738"/>
      <c r="T13" s="59">
        <f t="shared" si="0"/>
        <v>0</v>
      </c>
    </row>
    <row r="14" spans="1:27" ht="18" customHeight="1" thickTop="1" thickBot="1">
      <c r="C14" s="53">
        <f t="shared" si="1"/>
        <v>39908</v>
      </c>
      <c r="D14" s="67"/>
      <c r="E14" s="68" t="s">
        <v>1</v>
      </c>
      <c r="F14" s="69"/>
      <c r="G14" s="271"/>
      <c r="H14" s="50"/>
      <c r="I14" s="272"/>
      <c r="J14" s="191"/>
      <c r="K14" s="272"/>
      <c r="L14" s="272"/>
      <c r="M14" s="157">
        <f>SUM(L$10:L14)</f>
        <v>0</v>
      </c>
      <c r="N14" s="193">
        <f>SUM(実労先頭:R14)-SUM(T$10:T14)</f>
        <v>-3</v>
      </c>
      <c r="O14" s="736"/>
      <c r="P14" s="737"/>
      <c r="Q14" s="738"/>
      <c r="T14" s="59">
        <f t="shared" si="0"/>
        <v>0</v>
      </c>
    </row>
    <row r="15" spans="1:27" ht="18" customHeight="1" thickTop="1" thickBot="1">
      <c r="C15" s="53">
        <f t="shared" si="1"/>
        <v>39909</v>
      </c>
      <c r="D15" s="67"/>
      <c r="E15" s="68" t="s">
        <v>1</v>
      </c>
      <c r="F15" s="69"/>
      <c r="G15" s="271"/>
      <c r="H15" s="50"/>
      <c r="I15" s="272"/>
      <c r="J15" s="191"/>
      <c r="K15" s="272"/>
      <c r="L15" s="272"/>
      <c r="M15" s="157">
        <f>SUM(L$10:L15)</f>
        <v>0</v>
      </c>
      <c r="N15" s="193">
        <f>SUM(実労先頭:R15)-SUM(T$10:T15)</f>
        <v>-4</v>
      </c>
      <c r="O15" s="736"/>
      <c r="P15" s="737"/>
      <c r="Q15" s="738"/>
      <c r="T15" s="59">
        <f t="shared" si="0"/>
        <v>1</v>
      </c>
    </row>
    <row r="16" spans="1:27" ht="18" customHeight="1" thickTop="1" thickBot="1">
      <c r="C16" s="53">
        <f t="shared" si="1"/>
        <v>39910</v>
      </c>
      <c r="D16" s="67"/>
      <c r="E16" s="68" t="s">
        <v>1</v>
      </c>
      <c r="F16" s="69"/>
      <c r="G16" s="271"/>
      <c r="H16" s="50"/>
      <c r="I16" s="272"/>
      <c r="J16" s="191"/>
      <c r="K16" s="272"/>
      <c r="L16" s="272"/>
      <c r="M16" s="157">
        <f>SUM(L$10:L16)</f>
        <v>0</v>
      </c>
      <c r="N16" s="193">
        <f>SUM(実労先頭:R16)-SUM(T$10:T16)</f>
        <v>-5</v>
      </c>
      <c r="O16" s="736"/>
      <c r="P16" s="737"/>
      <c r="Q16" s="738"/>
      <c r="T16" s="59">
        <f t="shared" si="0"/>
        <v>1</v>
      </c>
    </row>
    <row r="17" spans="3:20" ht="18" customHeight="1" thickTop="1" thickBot="1">
      <c r="C17" s="53">
        <f t="shared" si="1"/>
        <v>39911</v>
      </c>
      <c r="D17" s="67"/>
      <c r="E17" s="68" t="s">
        <v>1</v>
      </c>
      <c r="F17" s="69"/>
      <c r="G17" s="271"/>
      <c r="H17" s="50"/>
      <c r="I17" s="272"/>
      <c r="J17" s="191"/>
      <c r="K17" s="272"/>
      <c r="L17" s="272"/>
      <c r="M17" s="157">
        <f>SUM(L$10:L17)</f>
        <v>0</v>
      </c>
      <c r="N17" s="193">
        <f>SUM(実労先頭:R17)-SUM(T$10:T17)</f>
        <v>-6</v>
      </c>
      <c r="O17" s="736"/>
      <c r="P17" s="737"/>
      <c r="Q17" s="738"/>
      <c r="T17" s="59">
        <f t="shared" si="0"/>
        <v>1</v>
      </c>
    </row>
    <row r="18" spans="3:20" ht="18" customHeight="1" thickTop="1" thickBot="1">
      <c r="C18" s="53">
        <f t="shared" si="1"/>
        <v>39912</v>
      </c>
      <c r="D18" s="67"/>
      <c r="E18" s="68" t="s">
        <v>1</v>
      </c>
      <c r="F18" s="69"/>
      <c r="G18" s="271"/>
      <c r="H18" s="50"/>
      <c r="I18" s="272"/>
      <c r="J18" s="191"/>
      <c r="K18" s="272"/>
      <c r="L18" s="272"/>
      <c r="M18" s="157">
        <f>SUM(L$10:L18)</f>
        <v>0</v>
      </c>
      <c r="N18" s="193">
        <f>SUM(実労先頭:R18)-SUM(T$10:T18)</f>
        <v>-7</v>
      </c>
      <c r="O18" s="736"/>
      <c r="P18" s="737"/>
      <c r="Q18" s="738"/>
      <c r="T18" s="59">
        <f t="shared" si="0"/>
        <v>1</v>
      </c>
    </row>
    <row r="19" spans="3:20" ht="18" customHeight="1" thickTop="1" thickBot="1">
      <c r="C19" s="53">
        <f t="shared" si="1"/>
        <v>39913</v>
      </c>
      <c r="D19" s="67"/>
      <c r="E19" s="68" t="s">
        <v>1</v>
      </c>
      <c r="F19" s="69"/>
      <c r="G19" s="271"/>
      <c r="H19" s="50"/>
      <c r="I19" s="272"/>
      <c r="J19" s="191"/>
      <c r="K19" s="272"/>
      <c r="L19" s="272"/>
      <c r="M19" s="157">
        <f>SUM(L$10:L19)</f>
        <v>0</v>
      </c>
      <c r="N19" s="193">
        <f>SUM(実労先頭:R19)-SUM(T$10:T19)</f>
        <v>-8</v>
      </c>
      <c r="O19" s="736"/>
      <c r="P19" s="737"/>
      <c r="Q19" s="738"/>
      <c r="T19" s="59">
        <f t="shared" si="0"/>
        <v>1</v>
      </c>
    </row>
    <row r="20" spans="3:20" ht="18" customHeight="1" thickTop="1" thickBot="1">
      <c r="C20" s="53">
        <f t="shared" si="1"/>
        <v>39914</v>
      </c>
      <c r="D20" s="67"/>
      <c r="E20" s="68" t="s">
        <v>1</v>
      </c>
      <c r="F20" s="69"/>
      <c r="G20" s="271"/>
      <c r="H20" s="50"/>
      <c r="I20" s="272"/>
      <c r="J20" s="191"/>
      <c r="K20" s="272"/>
      <c r="L20" s="272"/>
      <c r="M20" s="157">
        <f>SUM(L$10:L20)</f>
        <v>0</v>
      </c>
      <c r="N20" s="193">
        <f>SUM(実労先頭:R20)-SUM(T$10:T20)</f>
        <v>-8</v>
      </c>
      <c r="O20" s="736"/>
      <c r="P20" s="737"/>
      <c r="Q20" s="738"/>
      <c r="T20" s="59">
        <f t="shared" si="0"/>
        <v>0</v>
      </c>
    </row>
    <row r="21" spans="3:20" ht="18" customHeight="1" thickTop="1" thickBot="1">
      <c r="C21" s="53">
        <f t="shared" si="1"/>
        <v>39915</v>
      </c>
      <c r="D21" s="67"/>
      <c r="E21" s="68" t="s">
        <v>1</v>
      </c>
      <c r="F21" s="69"/>
      <c r="G21" s="271"/>
      <c r="H21" s="50"/>
      <c r="I21" s="272"/>
      <c r="J21" s="191"/>
      <c r="K21" s="272"/>
      <c r="L21" s="272"/>
      <c r="M21" s="157">
        <f>SUM(L$10:L21)</f>
        <v>0</v>
      </c>
      <c r="N21" s="193">
        <f>SUM(実労先頭:R21)-SUM(T$10:T21)</f>
        <v>-8</v>
      </c>
      <c r="O21" s="736"/>
      <c r="P21" s="737"/>
      <c r="Q21" s="738"/>
      <c r="T21" s="59">
        <f t="shared" si="0"/>
        <v>0</v>
      </c>
    </row>
    <row r="22" spans="3:20" ht="18" customHeight="1" thickTop="1" thickBot="1">
      <c r="C22" s="53">
        <f t="shared" si="1"/>
        <v>39916</v>
      </c>
      <c r="D22" s="67"/>
      <c r="E22" s="68" t="s">
        <v>1</v>
      </c>
      <c r="F22" s="69"/>
      <c r="G22" s="271"/>
      <c r="H22" s="50"/>
      <c r="I22" s="272"/>
      <c r="J22" s="191"/>
      <c r="K22" s="272"/>
      <c r="L22" s="272"/>
      <c r="M22" s="157">
        <f>SUM(L$10:L22)</f>
        <v>0</v>
      </c>
      <c r="N22" s="193">
        <f>SUM(実労先頭:R22)-SUM(T$10:T22)</f>
        <v>-9</v>
      </c>
      <c r="O22" s="736"/>
      <c r="P22" s="737"/>
      <c r="Q22" s="738"/>
      <c r="T22" s="59">
        <f t="shared" si="0"/>
        <v>1</v>
      </c>
    </row>
    <row r="23" spans="3:20" ht="18" customHeight="1" thickTop="1" thickBot="1">
      <c r="C23" s="53">
        <f t="shared" si="1"/>
        <v>39917</v>
      </c>
      <c r="D23" s="67"/>
      <c r="E23" s="68" t="s">
        <v>1</v>
      </c>
      <c r="F23" s="69"/>
      <c r="G23" s="271"/>
      <c r="H23" s="50"/>
      <c r="I23" s="272"/>
      <c r="J23" s="191"/>
      <c r="K23" s="272"/>
      <c r="L23" s="272"/>
      <c r="M23" s="157">
        <f>SUM(L$10:L23)</f>
        <v>0</v>
      </c>
      <c r="N23" s="193">
        <f>SUM(実労先頭:R23)-SUM(T$10:T23)</f>
        <v>-10</v>
      </c>
      <c r="O23" s="736"/>
      <c r="P23" s="737"/>
      <c r="Q23" s="738"/>
      <c r="T23" s="59">
        <f t="shared" si="0"/>
        <v>1</v>
      </c>
    </row>
    <row r="24" spans="3:20" ht="18" customHeight="1" thickTop="1" thickBot="1">
      <c r="C24" s="53">
        <f t="shared" si="1"/>
        <v>39918</v>
      </c>
      <c r="D24" s="67"/>
      <c r="E24" s="68" t="s">
        <v>1</v>
      </c>
      <c r="F24" s="69"/>
      <c r="G24" s="271"/>
      <c r="H24" s="50"/>
      <c r="I24" s="272"/>
      <c r="J24" s="191"/>
      <c r="K24" s="272"/>
      <c r="L24" s="272"/>
      <c r="M24" s="157">
        <f>SUM(L$10:L24)</f>
        <v>0</v>
      </c>
      <c r="N24" s="193">
        <f>SUM(実労先頭:R24)-SUM(T$10:T24)</f>
        <v>-11</v>
      </c>
      <c r="O24" s="736"/>
      <c r="P24" s="737"/>
      <c r="Q24" s="738"/>
      <c r="T24" s="59">
        <f t="shared" si="0"/>
        <v>1</v>
      </c>
    </row>
    <row r="25" spans="3:20" ht="18" customHeight="1" thickTop="1" thickBot="1">
      <c r="C25" s="53">
        <f t="shared" si="1"/>
        <v>39919</v>
      </c>
      <c r="D25" s="67"/>
      <c r="E25" s="68" t="s">
        <v>1</v>
      </c>
      <c r="F25" s="69"/>
      <c r="G25" s="271"/>
      <c r="H25" s="50"/>
      <c r="I25" s="272"/>
      <c r="J25" s="191"/>
      <c r="K25" s="272"/>
      <c r="L25" s="272"/>
      <c r="M25" s="157">
        <f>SUM(L$10:L25)</f>
        <v>0</v>
      </c>
      <c r="N25" s="193">
        <f>SUM(実労先頭:R25)-SUM(T$10:T25)</f>
        <v>-12</v>
      </c>
      <c r="O25" s="736"/>
      <c r="P25" s="737"/>
      <c r="Q25" s="738"/>
      <c r="T25" s="59">
        <f t="shared" si="0"/>
        <v>1</v>
      </c>
    </row>
    <row r="26" spans="3:20" ht="18" customHeight="1" thickTop="1" thickBot="1">
      <c r="C26" s="53">
        <f t="shared" si="1"/>
        <v>39920</v>
      </c>
      <c r="D26" s="67"/>
      <c r="E26" s="68" t="s">
        <v>1</v>
      </c>
      <c r="F26" s="69"/>
      <c r="G26" s="271"/>
      <c r="H26" s="50"/>
      <c r="I26" s="272"/>
      <c r="J26" s="191"/>
      <c r="K26" s="272"/>
      <c r="L26" s="272"/>
      <c r="M26" s="157">
        <f>SUM(L$10:L26)</f>
        <v>0</v>
      </c>
      <c r="N26" s="193">
        <f>SUM(実労先頭:R26)-SUM(T$10:T26)</f>
        <v>-13</v>
      </c>
      <c r="O26" s="736"/>
      <c r="P26" s="737"/>
      <c r="Q26" s="738"/>
      <c r="T26" s="59">
        <f t="shared" si="0"/>
        <v>1</v>
      </c>
    </row>
    <row r="27" spans="3:20" ht="18" customHeight="1" thickTop="1" thickBot="1">
      <c r="C27" s="53">
        <f t="shared" si="1"/>
        <v>39921</v>
      </c>
      <c r="D27" s="67"/>
      <c r="E27" s="68" t="s">
        <v>1</v>
      </c>
      <c r="F27" s="69"/>
      <c r="G27" s="271"/>
      <c r="H27" s="50"/>
      <c r="I27" s="272"/>
      <c r="J27" s="191"/>
      <c r="K27" s="272"/>
      <c r="L27" s="272"/>
      <c r="M27" s="157">
        <f>SUM(L$10:L27)</f>
        <v>0</v>
      </c>
      <c r="N27" s="193">
        <f>SUM(実労先頭:R27)-SUM(T$10:T27)</f>
        <v>-13</v>
      </c>
      <c r="O27" s="736"/>
      <c r="P27" s="737"/>
      <c r="Q27" s="738"/>
      <c r="T27" s="59">
        <f t="shared" si="0"/>
        <v>0</v>
      </c>
    </row>
    <row r="28" spans="3:20" ht="18" customHeight="1" thickTop="1" thickBot="1">
      <c r="C28" s="53">
        <f t="shared" si="1"/>
        <v>39922</v>
      </c>
      <c r="D28" s="67"/>
      <c r="E28" s="68" t="s">
        <v>1</v>
      </c>
      <c r="F28" s="69"/>
      <c r="G28" s="271"/>
      <c r="H28" s="50"/>
      <c r="I28" s="272"/>
      <c r="J28" s="191"/>
      <c r="K28" s="272"/>
      <c r="L28" s="272"/>
      <c r="M28" s="157">
        <f>SUM(L$10:L28)</f>
        <v>0</v>
      </c>
      <c r="N28" s="193">
        <f>SUM(実労先頭:R28)-SUM(T$10:T28)</f>
        <v>-13</v>
      </c>
      <c r="O28" s="736"/>
      <c r="P28" s="737"/>
      <c r="Q28" s="738"/>
      <c r="T28" s="59">
        <f t="shared" si="0"/>
        <v>0</v>
      </c>
    </row>
    <row r="29" spans="3:20" ht="18" customHeight="1" thickTop="1" thickBot="1">
      <c r="C29" s="53">
        <f t="shared" si="1"/>
        <v>39923</v>
      </c>
      <c r="D29" s="67"/>
      <c r="E29" s="68" t="s">
        <v>1</v>
      </c>
      <c r="F29" s="69"/>
      <c r="G29" s="271"/>
      <c r="H29" s="50"/>
      <c r="I29" s="272"/>
      <c r="J29" s="191"/>
      <c r="K29" s="272"/>
      <c r="L29" s="272"/>
      <c r="M29" s="157">
        <f>IF(C29="","",SUM(L$10:L29))</f>
        <v>0</v>
      </c>
      <c r="N29" s="193">
        <f>SUM(実労先頭:R29)-SUM(T$10:T29)</f>
        <v>-14</v>
      </c>
      <c r="O29" s="736"/>
      <c r="P29" s="737"/>
      <c r="Q29" s="738"/>
      <c r="T29" s="59">
        <f t="shared" si="0"/>
        <v>1</v>
      </c>
    </row>
    <row r="30" spans="3:20" ht="18" customHeight="1" thickTop="1" thickBot="1">
      <c r="C30" s="53">
        <f t="shared" si="1"/>
        <v>39924</v>
      </c>
      <c r="D30" s="67"/>
      <c r="E30" s="68" t="s">
        <v>1</v>
      </c>
      <c r="F30" s="69"/>
      <c r="G30" s="271"/>
      <c r="H30" s="50"/>
      <c r="I30" s="272"/>
      <c r="J30" s="191"/>
      <c r="K30" s="272"/>
      <c r="L30" s="272"/>
      <c r="M30" s="157">
        <f>IF(C30="","",SUM(L$10:L30))</f>
        <v>0</v>
      </c>
      <c r="N30" s="193">
        <f>SUM(実労先頭:R30)-SUM(T$10:T30)</f>
        <v>-15</v>
      </c>
      <c r="O30" s="736"/>
      <c r="P30" s="737"/>
      <c r="Q30" s="738"/>
      <c r="T30" s="59">
        <f t="shared" si="0"/>
        <v>1</v>
      </c>
    </row>
    <row r="31" spans="3:20" ht="18" customHeight="1" thickTop="1" thickBot="1">
      <c r="C31" s="53">
        <f t="shared" si="1"/>
        <v>39925</v>
      </c>
      <c r="D31" s="67"/>
      <c r="E31" s="68" t="s">
        <v>1</v>
      </c>
      <c r="F31" s="69"/>
      <c r="G31" s="271"/>
      <c r="H31" s="50"/>
      <c r="I31" s="272"/>
      <c r="J31" s="191"/>
      <c r="K31" s="272"/>
      <c r="L31" s="272"/>
      <c r="M31" s="157">
        <f>IF(C31="","",SUM(L$10:L31))</f>
        <v>0</v>
      </c>
      <c r="N31" s="193">
        <f>SUM(実労先頭:R31)-SUM(T$10:T31)</f>
        <v>-16</v>
      </c>
      <c r="O31" s="736"/>
      <c r="P31" s="737"/>
      <c r="Q31" s="738"/>
      <c r="T31" s="59">
        <f t="shared" si="0"/>
        <v>1</v>
      </c>
    </row>
    <row r="32" spans="3:20" ht="18" customHeight="1" thickTop="1" thickBot="1">
      <c r="C32" s="53">
        <f t="shared" si="1"/>
        <v>39926</v>
      </c>
      <c r="D32" s="67"/>
      <c r="E32" s="68" t="s">
        <v>1</v>
      </c>
      <c r="F32" s="69"/>
      <c r="G32" s="271"/>
      <c r="H32" s="50"/>
      <c r="I32" s="272"/>
      <c r="J32" s="191"/>
      <c r="K32" s="272"/>
      <c r="L32" s="272"/>
      <c r="M32" s="157">
        <f>IF(C32="","",SUM(L$10:L32))</f>
        <v>0</v>
      </c>
      <c r="N32" s="193">
        <f>SUM(実労先頭:R32)-SUM(T$10:T32)</f>
        <v>-17</v>
      </c>
      <c r="O32" s="736"/>
      <c r="P32" s="737"/>
      <c r="Q32" s="738"/>
      <c r="T32" s="59">
        <f t="shared" si="0"/>
        <v>1</v>
      </c>
    </row>
    <row r="33" spans="1:23" ht="18" customHeight="1" thickTop="1" thickBot="1">
      <c r="C33" s="53">
        <f t="shared" si="1"/>
        <v>39927</v>
      </c>
      <c r="D33" s="67"/>
      <c r="E33" s="68" t="s">
        <v>1</v>
      </c>
      <c r="F33" s="69"/>
      <c r="G33" s="271"/>
      <c r="H33" s="50"/>
      <c r="I33" s="272"/>
      <c r="J33" s="191"/>
      <c r="K33" s="272"/>
      <c r="L33" s="272"/>
      <c r="M33" s="157">
        <f>IF(C33="","",SUM(L$10:L33))</f>
        <v>0</v>
      </c>
      <c r="N33" s="193">
        <f>SUM(実労先頭:R33)-SUM(T$10:T33)</f>
        <v>-18</v>
      </c>
      <c r="O33" s="736"/>
      <c r="P33" s="737"/>
      <c r="Q33" s="738"/>
      <c r="T33" s="59">
        <f t="shared" si="0"/>
        <v>1</v>
      </c>
    </row>
    <row r="34" spans="1:23" ht="18" customHeight="1" thickTop="1" thickBot="1">
      <c r="C34" s="53">
        <f t="shared" si="1"/>
        <v>39928</v>
      </c>
      <c r="D34" s="67"/>
      <c r="E34" s="68" t="s">
        <v>1</v>
      </c>
      <c r="F34" s="69"/>
      <c r="G34" s="271"/>
      <c r="H34" s="50"/>
      <c r="I34" s="272"/>
      <c r="J34" s="191"/>
      <c r="K34" s="272"/>
      <c r="L34" s="272"/>
      <c r="M34" s="157">
        <f>IF(C34="","",SUM(L$10:L34))</f>
        <v>0</v>
      </c>
      <c r="N34" s="193">
        <f>SUM(実労先頭:R34)-SUM(T$10:T34)</f>
        <v>-18</v>
      </c>
      <c r="O34" s="736"/>
      <c r="P34" s="737"/>
      <c r="Q34" s="738"/>
      <c r="T34" s="59">
        <f t="shared" si="0"/>
        <v>0</v>
      </c>
    </row>
    <row r="35" spans="1:23" ht="18" customHeight="1" thickTop="1" thickBot="1">
      <c r="C35" s="53">
        <f t="shared" ref="C35:C40" si="2">IF(C34="","",IF(MONTH(C34+1)=MONTH(C33),C34+1,""))</f>
        <v>39929</v>
      </c>
      <c r="D35" s="67"/>
      <c r="E35" s="68" t="s">
        <v>1</v>
      </c>
      <c r="F35" s="69"/>
      <c r="G35" s="271"/>
      <c r="H35" s="50"/>
      <c r="I35" s="272"/>
      <c r="J35" s="191"/>
      <c r="K35" s="272"/>
      <c r="L35" s="272"/>
      <c r="M35" s="157">
        <f>IF(C35="","",SUM(L$10:L35))</f>
        <v>0</v>
      </c>
      <c r="N35" s="193">
        <f>SUM(実労先頭:R35)-SUM(T$10:T35)</f>
        <v>-18</v>
      </c>
      <c r="O35" s="736"/>
      <c r="P35" s="737"/>
      <c r="Q35" s="738"/>
      <c r="T35" s="59">
        <f t="shared" si="0"/>
        <v>0</v>
      </c>
    </row>
    <row r="36" spans="1:23" ht="18" customHeight="1" thickTop="1" thickBot="1">
      <c r="C36" s="53">
        <f t="shared" si="2"/>
        <v>39930</v>
      </c>
      <c r="D36" s="67"/>
      <c r="E36" s="68" t="s">
        <v>1</v>
      </c>
      <c r="F36" s="69"/>
      <c r="G36" s="271"/>
      <c r="H36" s="50"/>
      <c r="I36" s="272"/>
      <c r="J36" s="191"/>
      <c r="K36" s="272"/>
      <c r="L36" s="272"/>
      <c r="M36" s="157">
        <f>IF(C36="","",SUM(L$10:L36))</f>
        <v>0</v>
      </c>
      <c r="N36" s="193">
        <f>SUM(実労先頭:R36)-SUM(T$10:T36)</f>
        <v>-19</v>
      </c>
      <c r="O36" s="736"/>
      <c r="P36" s="737"/>
      <c r="Q36" s="738"/>
      <c r="T36" s="59">
        <f t="shared" si="0"/>
        <v>1</v>
      </c>
    </row>
    <row r="37" spans="1:23" ht="18" customHeight="1" thickTop="1" thickBot="1">
      <c r="C37" s="53">
        <f t="shared" si="2"/>
        <v>39931</v>
      </c>
      <c r="D37" s="67"/>
      <c r="E37" s="68" t="s">
        <v>1</v>
      </c>
      <c r="F37" s="69"/>
      <c r="G37" s="271"/>
      <c r="H37" s="50"/>
      <c r="I37" s="272"/>
      <c r="J37" s="191"/>
      <c r="K37" s="272"/>
      <c r="L37" s="272"/>
      <c r="M37" s="157">
        <f>IF(C37="","",SUM(L$10:L37))</f>
        <v>0</v>
      </c>
      <c r="N37" s="193">
        <f>SUM(実労先頭:R37)-SUM(T$10:T37)</f>
        <v>-20</v>
      </c>
      <c r="O37" s="736"/>
      <c r="P37" s="737"/>
      <c r="Q37" s="738"/>
      <c r="T37" s="59">
        <f t="shared" si="0"/>
        <v>1</v>
      </c>
    </row>
    <row r="38" spans="1:23" ht="18" customHeight="1" thickTop="1" thickBot="1">
      <c r="C38" s="53">
        <f t="shared" si="2"/>
        <v>39932</v>
      </c>
      <c r="D38" s="67"/>
      <c r="E38" s="68" t="s">
        <v>1</v>
      </c>
      <c r="F38" s="69"/>
      <c r="G38" s="271"/>
      <c r="H38" s="50"/>
      <c r="I38" s="272"/>
      <c r="J38" s="191"/>
      <c r="K38" s="272"/>
      <c r="L38" s="272"/>
      <c r="M38" s="157">
        <f>IF(C38="","",SUM(L$10:L38))</f>
        <v>0</v>
      </c>
      <c r="N38" s="193">
        <f>SUM(実労先頭:R38)-SUM(T$10:T38)</f>
        <v>-21</v>
      </c>
      <c r="O38" s="736"/>
      <c r="P38" s="737"/>
      <c r="Q38" s="738"/>
      <c r="T38" s="59">
        <f t="shared" si="0"/>
        <v>1</v>
      </c>
    </row>
    <row r="39" spans="1:23" ht="18" customHeight="1" thickTop="1" thickBot="1">
      <c r="C39" s="53">
        <f t="shared" si="2"/>
        <v>39933</v>
      </c>
      <c r="D39" s="67"/>
      <c r="E39" s="68" t="s">
        <v>1</v>
      </c>
      <c r="F39" s="69"/>
      <c r="G39" s="271"/>
      <c r="H39" s="50"/>
      <c r="I39" s="272"/>
      <c r="J39" s="191"/>
      <c r="K39" s="272"/>
      <c r="L39" s="272"/>
      <c r="M39" s="157">
        <f>IF(C39="","",SUM(L$10:L39))</f>
        <v>0</v>
      </c>
      <c r="N39" s="193">
        <f>SUM(実労先頭:R39)-SUM(T$10:T39)</f>
        <v>-22</v>
      </c>
      <c r="O39" s="736"/>
      <c r="P39" s="737"/>
      <c r="Q39" s="738"/>
      <c r="T39" s="59">
        <f t="shared" si="0"/>
        <v>1</v>
      </c>
    </row>
    <row r="40" spans="1:23" ht="18" customHeight="1" thickTop="1" thickBot="1">
      <c r="C40" s="147" t="str">
        <f t="shared" si="2"/>
        <v/>
      </c>
      <c r="D40" s="282"/>
      <c r="E40" s="283" t="s">
        <v>1</v>
      </c>
      <c r="F40" s="284"/>
      <c r="G40" s="285"/>
      <c r="H40" s="286"/>
      <c r="I40" s="287"/>
      <c r="J40" s="288"/>
      <c r="K40" s="287"/>
      <c r="L40" s="287"/>
      <c r="M40" s="264" t="str">
        <f>IF(C40="","",SUM(L$10:L40))</f>
        <v/>
      </c>
      <c r="N40" s="265">
        <f>SUM(実労先頭:R40)-SUM(T$10:T40)</f>
        <v>-22</v>
      </c>
      <c r="O40" s="767"/>
      <c r="P40" s="768"/>
      <c r="Q40" s="769"/>
      <c r="T40" s="59" t="str">
        <f t="shared" si="0"/>
        <v/>
      </c>
    </row>
    <row r="41" spans="1:23" customFormat="1" ht="19.5" customHeight="1" thickTop="1" thickBot="1">
      <c r="A41" s="687" t="s">
        <v>254</v>
      </c>
      <c r="B41" s="688"/>
      <c r="C41" s="688"/>
      <c r="D41" s="689"/>
      <c r="E41" s="146">
        <f>COUNT(D10:D40)</f>
        <v>0</v>
      </c>
      <c r="F41" s="144"/>
      <c r="G41" s="145" t="s">
        <v>43</v>
      </c>
      <c r="H41" s="56">
        <f>SUM(H10:H40)</f>
        <v>0</v>
      </c>
      <c r="I41" s="56">
        <f>SUM(I10:I40)</f>
        <v>0</v>
      </c>
      <c r="J41" s="57">
        <f>SUM(J10:J40)</f>
        <v>0</v>
      </c>
      <c r="K41" s="56">
        <f>SUM(K10:K40)</f>
        <v>0</v>
      </c>
      <c r="L41" s="274"/>
      <c r="M41" s="56">
        <f>SUM(L10:L40)</f>
        <v>0</v>
      </c>
      <c r="N41" s="131" t="e">
        <f>IF(#REF!="","",#REF!)</f>
        <v>#REF!</v>
      </c>
      <c r="O41" s="777"/>
      <c r="P41" s="777"/>
      <c r="Q41" s="778"/>
      <c r="R41" s="42"/>
      <c r="S41" s="61"/>
      <c r="T41" s="42"/>
      <c r="U41" s="62"/>
      <c r="V41" s="62"/>
      <c r="W41" s="62"/>
    </row>
    <row r="42" spans="1:23" ht="13.5" hidden="1" customHeight="1">
      <c r="C42" s="151"/>
      <c r="D42" s="151"/>
      <c r="E42" s="151"/>
      <c r="F42" s="151"/>
      <c r="G42" s="151"/>
      <c r="H42" s="151"/>
      <c r="I42" s="151"/>
      <c r="J42" s="151"/>
      <c r="K42" s="151"/>
      <c r="L42" s="151"/>
      <c r="M42" s="194"/>
      <c r="N42" s="151"/>
      <c r="O42" s="151"/>
      <c r="P42" s="151"/>
      <c r="Q42" s="151"/>
    </row>
    <row r="43" spans="1:23" ht="13.5" hidden="1" customHeight="1">
      <c r="C43" s="151"/>
      <c r="D43" s="151"/>
      <c r="E43" s="151"/>
      <c r="F43" s="151"/>
      <c r="G43" s="151"/>
      <c r="H43" s="151"/>
      <c r="I43" s="151"/>
      <c r="J43" s="151"/>
      <c r="K43" s="151"/>
      <c r="L43" s="151"/>
      <c r="M43" s="194"/>
      <c r="N43" s="151"/>
      <c r="O43" s="151"/>
      <c r="P43" s="151"/>
      <c r="Q43" s="151"/>
    </row>
    <row r="44" spans="1:23" ht="13.5" hidden="1" customHeight="1">
      <c r="C44" s="151"/>
      <c r="D44" s="151"/>
      <c r="E44" s="151"/>
      <c r="F44" s="151"/>
      <c r="G44" s="151"/>
      <c r="H44" s="195"/>
      <c r="I44" s="195"/>
      <c r="J44" s="151"/>
      <c r="K44" s="151"/>
      <c r="L44" s="151"/>
      <c r="M44" s="151"/>
      <c r="N44" s="151"/>
      <c r="O44" s="151"/>
      <c r="P44" s="151"/>
      <c r="Q44" s="196"/>
    </row>
    <row r="45" spans="1:23" ht="13.5" customHeight="1" thickBot="1">
      <c r="C45" s="151"/>
      <c r="D45" s="151"/>
      <c r="E45" s="151"/>
      <c r="F45" s="151"/>
      <c r="G45" s="151"/>
      <c r="H45" s="197"/>
      <c r="I45" s="198"/>
      <c r="J45" s="151"/>
      <c r="K45" s="151"/>
      <c r="L45" s="151"/>
      <c r="M45" s="151"/>
      <c r="N45" s="151"/>
      <c r="O45" s="151"/>
      <c r="P45" s="151"/>
      <c r="Q45" s="196"/>
    </row>
    <row r="46" spans="1:23" ht="16.5" customHeight="1" thickBot="1">
      <c r="C46" s="779" t="s">
        <v>239</v>
      </c>
      <c r="D46" s="780"/>
      <c r="E46" s="151"/>
      <c r="F46" s="151"/>
      <c r="G46" s="151"/>
      <c r="H46" s="151"/>
      <c r="I46" s="151"/>
      <c r="J46" s="151"/>
      <c r="K46" s="151"/>
      <c r="L46" s="151"/>
      <c r="M46" s="59"/>
      <c r="N46" s="59"/>
      <c r="O46" s="59"/>
      <c r="P46" s="59"/>
      <c r="Q46" s="59"/>
      <c r="R46" s="59"/>
      <c r="S46" s="59"/>
    </row>
    <row r="47" spans="1:23" ht="16.5" customHeight="1" thickBot="1">
      <c r="C47" s="254"/>
      <c r="D47" s="255"/>
      <c r="E47" s="255"/>
      <c r="F47" s="255"/>
      <c r="G47" s="255"/>
      <c r="H47" s="255"/>
      <c r="I47" s="255"/>
      <c r="J47" s="255"/>
      <c r="K47" s="255"/>
      <c r="L47" s="199"/>
      <c r="M47" s="59"/>
      <c r="N47" s="59"/>
      <c r="O47" s="774" t="s">
        <v>119</v>
      </c>
      <c r="P47" s="774"/>
      <c r="Q47" s="59"/>
      <c r="R47" s="59"/>
      <c r="S47" s="59"/>
    </row>
    <row r="48" spans="1:23" ht="16.5" customHeight="1">
      <c r="C48" s="256"/>
      <c r="D48" s="257"/>
      <c r="E48" s="257"/>
      <c r="F48" s="257"/>
      <c r="G48" s="257"/>
      <c r="H48" s="257"/>
      <c r="I48" s="257"/>
      <c r="J48" s="257"/>
      <c r="K48" s="257"/>
      <c r="L48" s="200"/>
      <c r="M48" s="59"/>
      <c r="N48" s="59"/>
      <c r="O48" s="128" t="s">
        <v>120</v>
      </c>
      <c r="P48" s="781"/>
      <c r="Q48" s="782"/>
      <c r="R48" s="59"/>
      <c r="S48" s="59"/>
    </row>
    <row r="49" spans="1:27" ht="16.5" customHeight="1">
      <c r="C49" s="256"/>
      <c r="D49" s="257"/>
      <c r="E49" s="257"/>
      <c r="F49" s="257"/>
      <c r="G49" s="257"/>
      <c r="H49" s="257"/>
      <c r="I49" s="257"/>
      <c r="J49" s="257"/>
      <c r="K49" s="257"/>
      <c r="L49" s="200"/>
      <c r="M49" s="59"/>
      <c r="N49" s="59"/>
      <c r="O49" s="775"/>
      <c r="P49" s="770"/>
      <c r="Q49" s="771"/>
      <c r="R49" s="59"/>
      <c r="S49" s="59"/>
    </row>
    <row r="50" spans="1:27" ht="16.5" customHeight="1">
      <c r="C50" s="256"/>
      <c r="D50" s="257"/>
      <c r="E50" s="257"/>
      <c r="F50" s="257"/>
      <c r="G50" s="257"/>
      <c r="H50" s="257"/>
      <c r="I50" s="257"/>
      <c r="J50" s="257"/>
      <c r="K50" s="257"/>
      <c r="L50" s="200"/>
      <c r="M50" s="59"/>
      <c r="N50" s="59"/>
      <c r="O50" s="775"/>
      <c r="P50" s="770"/>
      <c r="Q50" s="771"/>
      <c r="R50" s="59"/>
      <c r="S50" s="59"/>
    </row>
    <row r="51" spans="1:27" ht="16.5" customHeight="1">
      <c r="C51" s="258"/>
      <c r="D51" s="257"/>
      <c r="E51" s="257"/>
      <c r="F51" s="257"/>
      <c r="G51" s="257"/>
      <c r="H51" s="257"/>
      <c r="I51" s="257"/>
      <c r="J51" s="257"/>
      <c r="K51" s="257"/>
      <c r="L51" s="201"/>
      <c r="M51" s="59"/>
      <c r="N51" s="59"/>
      <c r="O51" s="775"/>
      <c r="P51" s="770"/>
      <c r="Q51" s="771"/>
      <c r="R51" s="59"/>
      <c r="S51" s="59"/>
    </row>
    <row r="52" spans="1:27" ht="16.5" customHeight="1" thickBot="1">
      <c r="C52" s="260"/>
      <c r="D52" s="259"/>
      <c r="E52" s="259"/>
      <c r="F52" s="259"/>
      <c r="G52" s="259"/>
      <c r="H52" s="259"/>
      <c r="I52" s="259"/>
      <c r="J52" s="259"/>
      <c r="K52" s="259"/>
      <c r="L52" s="202"/>
      <c r="M52" s="59"/>
      <c r="N52" s="59"/>
      <c r="O52" s="776"/>
      <c r="P52" s="772"/>
      <c r="Q52" s="773"/>
      <c r="R52" s="59"/>
      <c r="S52" s="59"/>
    </row>
    <row r="53" spans="1:27">
      <c r="C53" s="151"/>
      <c r="D53" s="151"/>
      <c r="E53" s="151"/>
      <c r="F53" s="151"/>
      <c r="G53" s="151"/>
      <c r="H53" s="151"/>
      <c r="I53" s="151"/>
      <c r="J53" s="151"/>
      <c r="K53" s="151"/>
      <c r="L53" s="151"/>
      <c r="M53" s="151"/>
      <c r="N53" s="151"/>
      <c r="O53" s="151"/>
      <c r="P53" s="151"/>
      <c r="Q53" s="203" t="s">
        <v>289</v>
      </c>
      <c r="T53" s="42"/>
      <c r="U53" s="42"/>
      <c r="V53" s="42"/>
      <c r="W53" s="42"/>
      <c r="X53" s="178"/>
      <c r="Y53" s="178"/>
      <c r="Z53" s="178"/>
      <c r="AA53" s="178"/>
    </row>
    <row r="54" spans="1:27"/>
    <row r="55" spans="1:27" s="207" customFormat="1" hidden="1">
      <c r="A55" s="204"/>
      <c r="B55" s="204"/>
      <c r="C55" s="205"/>
      <c r="D55" s="205"/>
      <c r="E55" s="205"/>
      <c r="F55" s="205"/>
      <c r="G55" s="205"/>
      <c r="H55" s="205"/>
      <c r="I55" s="205"/>
      <c r="J55" s="205"/>
      <c r="K55" s="205"/>
      <c r="L55" s="205"/>
      <c r="M55" s="205"/>
      <c r="N55" s="205"/>
      <c r="O55" s="205"/>
      <c r="P55" s="205"/>
      <c r="Q55" s="205"/>
      <c r="R55" s="204"/>
      <c r="S55" s="204"/>
      <c r="T55" s="204"/>
      <c r="U55" s="204"/>
      <c r="V55" s="204"/>
      <c r="W55" s="204"/>
      <c r="X55" s="206"/>
      <c r="Y55" s="206"/>
      <c r="Z55" s="206"/>
      <c r="AA55" s="206"/>
    </row>
  </sheetData>
  <sheetProtection password="CAE0" sheet="1" objects="1" scenarios="1"/>
  <mergeCells count="53">
    <mergeCell ref="O24:Q24"/>
    <mergeCell ref="O29:Q29"/>
    <mergeCell ref="O28:Q28"/>
    <mergeCell ref="O38:Q38"/>
    <mergeCell ref="O31:Q31"/>
    <mergeCell ref="O30:Q30"/>
    <mergeCell ref="O25:Q25"/>
    <mergeCell ref="O40:Q40"/>
    <mergeCell ref="O32:Q32"/>
    <mergeCell ref="P49:Q52"/>
    <mergeCell ref="A41:D41"/>
    <mergeCell ref="O47:P47"/>
    <mergeCell ref="O49:O52"/>
    <mergeCell ref="O41:Q41"/>
    <mergeCell ref="C46:D46"/>
    <mergeCell ref="P48:Q48"/>
    <mergeCell ref="O39:Q39"/>
    <mergeCell ref="O37:Q37"/>
    <mergeCell ref="O36:Q36"/>
    <mergeCell ref="O33:Q33"/>
    <mergeCell ref="O34:Q34"/>
    <mergeCell ref="O35:Q35"/>
    <mergeCell ref="G1:M1"/>
    <mergeCell ref="O27:Q27"/>
    <mergeCell ref="M3:Q3"/>
    <mergeCell ref="M4:Q4"/>
    <mergeCell ref="M5:Q5"/>
    <mergeCell ref="M7:Q7"/>
    <mergeCell ref="M6:P6"/>
    <mergeCell ref="O18:Q18"/>
    <mergeCell ref="O22:Q22"/>
    <mergeCell ref="O26:Q26"/>
    <mergeCell ref="O10:Q10"/>
    <mergeCell ref="O11:Q11"/>
    <mergeCell ref="O16:Q16"/>
    <mergeCell ref="O19:Q19"/>
    <mergeCell ref="O17:Q17"/>
    <mergeCell ref="O21:Q21"/>
    <mergeCell ref="O9:Q9"/>
    <mergeCell ref="B2:F2"/>
    <mergeCell ref="D9:F9"/>
    <mergeCell ref="K3:L3"/>
    <mergeCell ref="K4:L4"/>
    <mergeCell ref="K5:L5"/>
    <mergeCell ref="K6:L6"/>
    <mergeCell ref="K7:L7"/>
    <mergeCell ref="D7:H7"/>
    <mergeCell ref="O12:Q12"/>
    <mergeCell ref="O13:Q13"/>
    <mergeCell ref="O14:Q14"/>
    <mergeCell ref="O15:Q15"/>
    <mergeCell ref="O23:Q23"/>
    <mergeCell ref="O20:Q20"/>
  </mergeCells>
  <phoneticPr fontId="24"/>
  <conditionalFormatting sqref="C10:C40">
    <cfRule type="expression" dxfId="34" priority="1" stopIfTrue="1">
      <formula>WEEKDAY($C10)=1</formula>
    </cfRule>
    <cfRule type="expression" dxfId="33" priority="2" stopIfTrue="1">
      <formula>WEEKDAY($C10)=7</formula>
    </cfRule>
    <cfRule type="expression" dxfId="32" priority="3" stopIfTrue="1">
      <formula>IF(WEEKDAY($C10)&gt;1,IF( WEEKDAY($C10)&lt;7, IF( $T10=1,0,1),0),0)</formula>
    </cfRule>
  </conditionalFormatting>
  <conditionalFormatting sqref="I10:I40 D10:D40 F10:F40">
    <cfRule type="expression" dxfId="31" priority="7" stopIfTrue="1">
      <formula>$T10=1</formula>
    </cfRule>
  </conditionalFormatting>
  <conditionalFormatting sqref="H10:H40 K10:L40">
    <cfRule type="expression" dxfId="30" priority="8" stopIfTrue="1">
      <formula>$U10</formula>
    </cfRule>
    <cfRule type="expression" dxfId="29" priority="9" stopIfTrue="1">
      <formula>$T10=1</formula>
    </cfRule>
  </conditionalFormatting>
  <conditionalFormatting sqref="G10:G40">
    <cfRule type="expression" dxfId="28" priority="10" stopIfTrue="1">
      <formula>IF($Q$2=1,0,IF($G10="法休",1))</formula>
    </cfRule>
    <cfRule type="expression" dxfId="27" priority="11" stopIfTrue="1">
      <formula>$T10=1</formula>
    </cfRule>
  </conditionalFormatting>
  <dataValidations count="3">
    <dataValidation type="time" operator="greaterThanOrEqual" allowBlank="1" showInputMessage="1" showErrorMessage="1" sqref="D10:D40 F10:F40" xr:uid="{00000000-0002-0000-0400-000000000000}">
      <formula1>0</formula1>
    </dataValidation>
    <dataValidation type="textLength" imeMode="hiragana" operator="lessThanOrEqual" allowBlank="1" showInputMessage="1" showErrorMessage="1" errorTitle="入力文字数制限" error="２５５文字以内で入力してください。" sqref="C47:L52" xr:uid="{00000000-0002-0000-0400-000001000000}">
      <formula1>255</formula1>
    </dataValidation>
    <dataValidation type="list" allowBlank="1" showInputMessage="1" showErrorMessage="1" sqref="G10:G40" xr:uid="{00000000-0002-0000-0400-000002000000}">
      <formula1>"休暇"</formula1>
    </dataValidation>
  </dataValidations>
  <pageMargins left="0.59055118110236227" right="0.16" top="0.59055118110236227" bottom="0.34" header="0" footer="0"/>
  <pageSetup paperSize="9" orientation="portrait" blackAndWhite="1" horizontalDpi="300" verticalDpi="300" r:id="rId1"/>
  <headerFooter alignWithMargins="0">
    <oddFooter>&amp;R&amp;"ＭＳ Ｐゴシック,斜体"&amp;9Printing &amp;D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GoToMenu">
                <anchor moveWithCells="1" sizeWithCells="1">
                  <from>
                    <xdr:col>15</xdr:col>
                    <xdr:colOff>0</xdr:colOff>
                    <xdr:row>0</xdr:row>
                    <xdr:rowOff>0</xdr:rowOff>
                  </from>
                  <to>
                    <xdr:col>16</xdr:col>
                    <xdr:colOff>257175</xdr:colOff>
                    <xdr:row>0</xdr:row>
                    <xdr:rowOff>323850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3">
    <pageSetUpPr fitToPage="1"/>
  </sheetPr>
  <dimension ref="A1:EC104"/>
  <sheetViews>
    <sheetView showGridLines="0" showRowColHeaders="0" showOutlineSymbols="0" zoomScaleNormal="100" workbookViewId="0">
      <pane ySplit="9" topLeftCell="A10" activePane="bottomLeft" state="frozen"/>
      <selection pane="bottomLeft" activeCell="A10" sqref="A10"/>
    </sheetView>
  </sheetViews>
  <sheetFormatPr defaultColWidth="0" defaultRowHeight="0" customHeight="1" zeroHeight="1"/>
  <cols>
    <col min="1" max="1" width="5.625" style="231" customWidth="1"/>
    <col min="2" max="2" width="15.625" style="497" customWidth="1"/>
    <col min="3" max="3" width="6.625" style="497" customWidth="1"/>
    <col min="4" max="4" width="10.625" style="497" customWidth="1"/>
    <col min="5" max="5" width="9.625" style="497" customWidth="1"/>
    <col min="6" max="6" width="2.125" style="497" customWidth="1"/>
    <col min="7" max="7" width="3.125" style="497" customWidth="1"/>
    <col min="8" max="8" width="6.625" style="497" customWidth="1"/>
    <col min="9" max="9" width="2.125" style="497" customWidth="1"/>
    <col min="10" max="10" width="9.125" style="497" customWidth="1"/>
    <col min="11" max="11" width="5.375" style="497" customWidth="1"/>
    <col min="12" max="12" width="8.125" style="497" customWidth="1"/>
    <col min="13" max="13" width="7.625" style="497" customWidth="1"/>
    <col min="14" max="14" width="3.625" style="497" customWidth="1"/>
    <col min="15" max="15" width="2.25" style="497" customWidth="1"/>
    <col min="16" max="16" width="4" style="497" hidden="1" customWidth="1"/>
    <col min="17" max="19" width="10.5" style="497" hidden="1" customWidth="1"/>
    <col min="20" max="23" width="6.875" style="497" hidden="1" customWidth="1"/>
    <col min="24" max="24" width="8.5" style="497" hidden="1" customWidth="1"/>
    <col min="25" max="30" width="6.875" style="497" hidden="1" customWidth="1"/>
    <col min="31" max="32" width="12" style="497" hidden="1" customWidth="1"/>
    <col min="33" max="133" width="6.875" style="497" hidden="1" customWidth="1"/>
    <col min="134" max="16384" width="0.125" style="497" hidden="1"/>
  </cols>
  <sheetData>
    <row r="1" spans="1:32" ht="33" customHeight="1">
      <c r="A1" s="208"/>
      <c r="C1" s="837" t="s">
        <v>475</v>
      </c>
      <c r="D1" s="837"/>
      <c r="E1" s="837"/>
      <c r="F1" s="837"/>
      <c r="G1" s="837"/>
      <c r="H1" s="837"/>
      <c r="I1" s="837"/>
      <c r="J1" s="209"/>
      <c r="K1" s="210"/>
      <c r="L1" s="210"/>
      <c r="M1" s="210"/>
      <c r="N1" s="210"/>
    </row>
    <row r="2" spans="1:32" ht="21" customHeight="1" thickBot="1">
      <c r="A2" s="211"/>
      <c r="B2" s="574">
        <v>43374</v>
      </c>
      <c r="C2" s="212"/>
      <c r="D2" s="213"/>
      <c r="E2" s="213"/>
      <c r="F2" s="214"/>
      <c r="G2" s="214"/>
      <c r="H2" s="214"/>
      <c r="I2" s="214"/>
      <c r="J2" s="215"/>
      <c r="K2" s="216"/>
      <c r="L2" s="216"/>
      <c r="M2" s="216"/>
      <c r="N2" s="217"/>
      <c r="AE2" s="603">
        <f ca="1">TODAY()</f>
        <v>43769</v>
      </c>
      <c r="AF2" s="603">
        <v>43739</v>
      </c>
    </row>
    <row r="3" spans="1:32" ht="17.25" customHeight="1">
      <c r="A3" s="211"/>
      <c r="B3" s="218"/>
      <c r="F3" s="500"/>
      <c r="G3" s="838" t="s">
        <v>236</v>
      </c>
      <c r="H3" s="839"/>
      <c r="I3" s="840"/>
      <c r="J3" s="841"/>
      <c r="K3" s="842"/>
      <c r="L3" s="842"/>
      <c r="M3" s="842"/>
      <c r="N3" s="843"/>
      <c r="AE3" s="605" t="s">
        <v>626</v>
      </c>
      <c r="AF3" s="605" t="s">
        <v>627</v>
      </c>
    </row>
    <row r="4" spans="1:32" ht="17.25" customHeight="1">
      <c r="A4" s="211"/>
      <c r="B4" s="218"/>
      <c r="F4" s="500"/>
      <c r="G4" s="822" t="s">
        <v>237</v>
      </c>
      <c r="H4" s="823"/>
      <c r="I4" s="824"/>
      <c r="J4" s="844"/>
      <c r="K4" s="826"/>
      <c r="L4" s="826"/>
      <c r="M4" s="826"/>
      <c r="N4" s="845"/>
      <c r="AE4" s="606" t="s">
        <v>610</v>
      </c>
      <c r="AF4" s="606" t="s">
        <v>610</v>
      </c>
    </row>
    <row r="5" spans="1:32" ht="17.25" customHeight="1">
      <c r="A5" s="211"/>
      <c r="B5" s="218"/>
      <c r="F5" s="500"/>
      <c r="G5" s="822" t="s">
        <v>238</v>
      </c>
      <c r="H5" s="823"/>
      <c r="I5" s="824"/>
      <c r="J5" s="844"/>
      <c r="K5" s="826"/>
      <c r="L5" s="826"/>
      <c r="M5" s="826"/>
      <c r="N5" s="845"/>
      <c r="AE5" s="606" t="s">
        <v>516</v>
      </c>
      <c r="AF5" s="606" t="s">
        <v>611</v>
      </c>
    </row>
    <row r="6" spans="1:32" ht="17.25" customHeight="1">
      <c r="A6" s="211"/>
      <c r="B6" s="218"/>
      <c r="F6" s="500"/>
      <c r="G6" s="822" t="s">
        <v>476</v>
      </c>
      <c r="H6" s="823"/>
      <c r="I6" s="824"/>
      <c r="J6" s="825"/>
      <c r="K6" s="826"/>
      <c r="L6" s="826"/>
      <c r="M6" s="826"/>
      <c r="N6" s="153" t="s">
        <v>477</v>
      </c>
      <c r="AE6" s="606" t="s">
        <v>612</v>
      </c>
      <c r="AF6" s="606" t="s">
        <v>516</v>
      </c>
    </row>
    <row r="7" spans="1:32" ht="17.25" customHeight="1" thickBot="1">
      <c r="A7" s="219"/>
      <c r="B7" s="220"/>
      <c r="F7" s="500"/>
      <c r="G7" s="827" t="s">
        <v>229</v>
      </c>
      <c r="H7" s="828"/>
      <c r="I7" s="829"/>
      <c r="J7" s="830"/>
      <c r="K7" s="831"/>
      <c r="L7" s="831"/>
      <c r="M7" s="831"/>
      <c r="N7" s="832"/>
      <c r="AF7" s="606" t="s">
        <v>612</v>
      </c>
    </row>
    <row r="8" spans="1:32" ht="7.5" customHeight="1" thickBot="1">
      <c r="A8" s="208"/>
      <c r="B8" s="210"/>
      <c r="C8" s="210"/>
      <c r="D8" s="210"/>
      <c r="E8" s="210"/>
      <c r="F8" s="210"/>
      <c r="G8" s="210"/>
      <c r="H8" s="210"/>
      <c r="I8" s="210"/>
      <c r="J8" s="210"/>
      <c r="K8" s="210"/>
      <c r="L8" s="210"/>
      <c r="M8" s="210"/>
      <c r="N8" s="210"/>
    </row>
    <row r="9" spans="1:32" ht="17.25" customHeight="1">
      <c r="A9" s="266" t="s">
        <v>189</v>
      </c>
      <c r="B9" s="493" t="s">
        <v>240</v>
      </c>
      <c r="C9" s="833" t="s">
        <v>241</v>
      </c>
      <c r="D9" s="833"/>
      <c r="E9" s="655" t="s">
        <v>242</v>
      </c>
      <c r="F9" s="657"/>
      <c r="G9" s="834" t="s">
        <v>478</v>
      </c>
      <c r="H9" s="656"/>
      <c r="I9" s="656"/>
      <c r="J9" s="657"/>
      <c r="K9" s="501" t="s">
        <v>479</v>
      </c>
      <c r="L9" s="502" t="s">
        <v>480</v>
      </c>
      <c r="M9" s="835" t="s">
        <v>632</v>
      </c>
      <c r="N9" s="836"/>
      <c r="AF9" s="604" t="str">
        <f ca="1">IF(AE2&lt;AF2,AE3,AF3)</f>
        <v>P20191001</v>
      </c>
    </row>
    <row r="10" spans="1:32" s="225" customFormat="1" ht="17.25" customHeight="1">
      <c r="A10" s="503"/>
      <c r="B10" s="221"/>
      <c r="C10" s="817"/>
      <c r="D10" s="818"/>
      <c r="E10" s="817"/>
      <c r="F10" s="819"/>
      <c r="G10" s="820"/>
      <c r="H10" s="821"/>
      <c r="I10" s="222" t="s">
        <v>481</v>
      </c>
      <c r="J10" s="223"/>
      <c r="K10" s="224"/>
      <c r="L10" s="599"/>
      <c r="M10" s="814"/>
      <c r="N10" s="815"/>
      <c r="AF10" s="604" t="str">
        <f t="shared" ref="AF10:AF42" ca="1" si="0">IF(A10="",$AF$9,IF(A10&lt;$AF$2,$AE$3,$AF$3))</f>
        <v>P20191001</v>
      </c>
    </row>
    <row r="11" spans="1:32" s="225" customFormat="1" ht="17.25" customHeight="1">
      <c r="A11" s="482"/>
      <c r="B11" s="226"/>
      <c r="C11" s="809"/>
      <c r="D11" s="810"/>
      <c r="E11" s="809"/>
      <c r="F11" s="811"/>
      <c r="G11" s="812"/>
      <c r="H11" s="813"/>
      <c r="I11" s="227" t="s">
        <v>481</v>
      </c>
      <c r="J11" s="228"/>
      <c r="K11" s="229"/>
      <c r="L11" s="599"/>
      <c r="M11" s="814"/>
      <c r="N11" s="815"/>
      <c r="AF11" s="604" t="str">
        <f t="shared" ca="1" si="0"/>
        <v>P20191001</v>
      </c>
    </row>
    <row r="12" spans="1:32" s="225" customFormat="1" ht="17.25" customHeight="1">
      <c r="A12" s="482"/>
      <c r="B12" s="226"/>
      <c r="C12" s="809"/>
      <c r="D12" s="810"/>
      <c r="E12" s="809"/>
      <c r="F12" s="811"/>
      <c r="G12" s="812"/>
      <c r="H12" s="813"/>
      <c r="I12" s="227" t="s">
        <v>481</v>
      </c>
      <c r="J12" s="228"/>
      <c r="K12" s="229"/>
      <c r="L12" s="599"/>
      <c r="M12" s="814"/>
      <c r="N12" s="815"/>
      <c r="AF12" s="604" t="str">
        <f t="shared" ca="1" si="0"/>
        <v>P20191001</v>
      </c>
    </row>
    <row r="13" spans="1:32" s="225" customFormat="1" ht="17.25" customHeight="1">
      <c r="A13" s="482"/>
      <c r="B13" s="226"/>
      <c r="C13" s="809"/>
      <c r="D13" s="810"/>
      <c r="E13" s="809"/>
      <c r="F13" s="811"/>
      <c r="G13" s="812"/>
      <c r="H13" s="813"/>
      <c r="I13" s="227" t="s">
        <v>481</v>
      </c>
      <c r="J13" s="228"/>
      <c r="K13" s="229"/>
      <c r="L13" s="599"/>
      <c r="M13" s="814"/>
      <c r="N13" s="815"/>
      <c r="AF13" s="604" t="str">
        <f t="shared" ca="1" si="0"/>
        <v>P20191001</v>
      </c>
    </row>
    <row r="14" spans="1:32" s="225" customFormat="1" ht="17.25" customHeight="1">
      <c r="A14" s="482"/>
      <c r="B14" s="226"/>
      <c r="C14" s="809"/>
      <c r="D14" s="810"/>
      <c r="E14" s="809"/>
      <c r="F14" s="811"/>
      <c r="G14" s="812"/>
      <c r="H14" s="813"/>
      <c r="I14" s="227" t="s">
        <v>481</v>
      </c>
      <c r="J14" s="228"/>
      <c r="K14" s="229"/>
      <c r="L14" s="599"/>
      <c r="M14" s="814"/>
      <c r="N14" s="815"/>
      <c r="AF14" s="604" t="str">
        <f t="shared" ca="1" si="0"/>
        <v>P20191001</v>
      </c>
    </row>
    <row r="15" spans="1:32" s="225" customFormat="1" ht="17.25" customHeight="1">
      <c r="A15" s="482"/>
      <c r="B15" s="226"/>
      <c r="C15" s="809"/>
      <c r="D15" s="810"/>
      <c r="E15" s="809"/>
      <c r="F15" s="811"/>
      <c r="G15" s="812"/>
      <c r="H15" s="813"/>
      <c r="I15" s="227" t="s">
        <v>481</v>
      </c>
      <c r="J15" s="228"/>
      <c r="K15" s="229"/>
      <c r="L15" s="599"/>
      <c r="M15" s="814"/>
      <c r="N15" s="815"/>
      <c r="AF15" s="604" t="str">
        <f t="shared" ca="1" si="0"/>
        <v>P20191001</v>
      </c>
    </row>
    <row r="16" spans="1:32" s="225" customFormat="1" ht="17.25" customHeight="1">
      <c r="A16" s="482"/>
      <c r="B16" s="226"/>
      <c r="C16" s="809"/>
      <c r="D16" s="810"/>
      <c r="E16" s="809"/>
      <c r="F16" s="811"/>
      <c r="G16" s="812"/>
      <c r="H16" s="813"/>
      <c r="I16" s="227" t="s">
        <v>481</v>
      </c>
      <c r="J16" s="228"/>
      <c r="K16" s="229"/>
      <c r="L16" s="599"/>
      <c r="M16" s="814"/>
      <c r="N16" s="815"/>
      <c r="AF16" s="604" t="str">
        <f t="shared" ca="1" si="0"/>
        <v>P20191001</v>
      </c>
    </row>
    <row r="17" spans="1:32" s="225" customFormat="1" ht="17.25" customHeight="1">
      <c r="A17" s="482"/>
      <c r="B17" s="226"/>
      <c r="C17" s="809"/>
      <c r="D17" s="810"/>
      <c r="E17" s="809"/>
      <c r="F17" s="811"/>
      <c r="G17" s="812"/>
      <c r="H17" s="813"/>
      <c r="I17" s="227" t="s">
        <v>481</v>
      </c>
      <c r="J17" s="228"/>
      <c r="K17" s="229"/>
      <c r="L17" s="599"/>
      <c r="M17" s="814"/>
      <c r="N17" s="815"/>
      <c r="AF17" s="604" t="str">
        <f t="shared" ca="1" si="0"/>
        <v>P20191001</v>
      </c>
    </row>
    <row r="18" spans="1:32" s="225" customFormat="1" ht="17.25" customHeight="1">
      <c r="A18" s="482"/>
      <c r="B18" s="226"/>
      <c r="C18" s="809"/>
      <c r="D18" s="810"/>
      <c r="E18" s="809"/>
      <c r="F18" s="811"/>
      <c r="G18" s="812"/>
      <c r="H18" s="813"/>
      <c r="I18" s="227" t="s">
        <v>481</v>
      </c>
      <c r="J18" s="228"/>
      <c r="K18" s="229"/>
      <c r="L18" s="599"/>
      <c r="M18" s="814"/>
      <c r="N18" s="815"/>
      <c r="AF18" s="604" t="str">
        <f t="shared" ca="1" si="0"/>
        <v>P20191001</v>
      </c>
    </row>
    <row r="19" spans="1:32" s="225" customFormat="1" ht="17.25" customHeight="1">
      <c r="A19" s="482"/>
      <c r="B19" s="226"/>
      <c r="C19" s="809"/>
      <c r="D19" s="810"/>
      <c r="E19" s="809"/>
      <c r="F19" s="811"/>
      <c r="G19" s="812"/>
      <c r="H19" s="813"/>
      <c r="I19" s="227" t="s">
        <v>481</v>
      </c>
      <c r="J19" s="228"/>
      <c r="K19" s="229"/>
      <c r="L19" s="599"/>
      <c r="M19" s="814"/>
      <c r="N19" s="815"/>
      <c r="AF19" s="604" t="str">
        <f t="shared" ca="1" si="0"/>
        <v>P20191001</v>
      </c>
    </row>
    <row r="20" spans="1:32" s="225" customFormat="1" ht="17.25" customHeight="1">
      <c r="A20" s="482"/>
      <c r="B20" s="226"/>
      <c r="C20" s="809"/>
      <c r="D20" s="810"/>
      <c r="E20" s="809"/>
      <c r="F20" s="811"/>
      <c r="G20" s="812"/>
      <c r="H20" s="813"/>
      <c r="I20" s="227" t="s">
        <v>481</v>
      </c>
      <c r="J20" s="228"/>
      <c r="K20" s="229"/>
      <c r="L20" s="599"/>
      <c r="M20" s="814"/>
      <c r="N20" s="815"/>
      <c r="AF20" s="604" t="str">
        <f t="shared" ca="1" si="0"/>
        <v>P20191001</v>
      </c>
    </row>
    <row r="21" spans="1:32" s="225" customFormat="1" ht="17.25" customHeight="1">
      <c r="A21" s="482"/>
      <c r="B21" s="226"/>
      <c r="C21" s="809"/>
      <c r="D21" s="810"/>
      <c r="E21" s="809"/>
      <c r="F21" s="811"/>
      <c r="G21" s="812"/>
      <c r="H21" s="813"/>
      <c r="I21" s="227" t="s">
        <v>481</v>
      </c>
      <c r="J21" s="228"/>
      <c r="K21" s="229"/>
      <c r="L21" s="599"/>
      <c r="M21" s="814"/>
      <c r="N21" s="815"/>
      <c r="AF21" s="604" t="str">
        <f t="shared" ca="1" si="0"/>
        <v>P20191001</v>
      </c>
    </row>
    <row r="22" spans="1:32" s="225" customFormat="1" ht="17.25" customHeight="1">
      <c r="A22" s="482"/>
      <c r="B22" s="226"/>
      <c r="C22" s="809"/>
      <c r="D22" s="810"/>
      <c r="E22" s="809"/>
      <c r="F22" s="811"/>
      <c r="G22" s="812"/>
      <c r="H22" s="813"/>
      <c r="I22" s="227" t="s">
        <v>481</v>
      </c>
      <c r="J22" s="228"/>
      <c r="K22" s="229"/>
      <c r="L22" s="599"/>
      <c r="M22" s="814"/>
      <c r="N22" s="815"/>
      <c r="AF22" s="604" t="str">
        <f t="shared" ca="1" si="0"/>
        <v>P20191001</v>
      </c>
    </row>
    <row r="23" spans="1:32" s="225" customFormat="1" ht="17.25" customHeight="1">
      <c r="A23" s="482"/>
      <c r="B23" s="226"/>
      <c r="C23" s="809"/>
      <c r="D23" s="810"/>
      <c r="E23" s="809"/>
      <c r="F23" s="811"/>
      <c r="G23" s="812"/>
      <c r="H23" s="813"/>
      <c r="I23" s="227" t="s">
        <v>481</v>
      </c>
      <c r="J23" s="228"/>
      <c r="K23" s="229"/>
      <c r="L23" s="599"/>
      <c r="M23" s="814"/>
      <c r="N23" s="815"/>
      <c r="AF23" s="604" t="str">
        <f t="shared" ca="1" si="0"/>
        <v>P20191001</v>
      </c>
    </row>
    <row r="24" spans="1:32" s="225" customFormat="1" ht="17.25" customHeight="1">
      <c r="A24" s="482"/>
      <c r="B24" s="226"/>
      <c r="C24" s="809"/>
      <c r="D24" s="810"/>
      <c r="E24" s="809"/>
      <c r="F24" s="811"/>
      <c r="G24" s="812"/>
      <c r="H24" s="813"/>
      <c r="I24" s="227" t="s">
        <v>481</v>
      </c>
      <c r="J24" s="228"/>
      <c r="K24" s="229"/>
      <c r="L24" s="599"/>
      <c r="M24" s="814"/>
      <c r="N24" s="815"/>
      <c r="AF24" s="604" t="str">
        <f t="shared" ca="1" si="0"/>
        <v>P20191001</v>
      </c>
    </row>
    <row r="25" spans="1:32" s="225" customFormat="1" ht="17.25" customHeight="1">
      <c r="A25" s="482"/>
      <c r="B25" s="226"/>
      <c r="C25" s="809"/>
      <c r="D25" s="810"/>
      <c r="E25" s="809"/>
      <c r="F25" s="811"/>
      <c r="G25" s="812"/>
      <c r="H25" s="813"/>
      <c r="I25" s="227" t="s">
        <v>481</v>
      </c>
      <c r="J25" s="228"/>
      <c r="K25" s="229"/>
      <c r="L25" s="599"/>
      <c r="M25" s="814"/>
      <c r="N25" s="815"/>
      <c r="AF25" s="604" t="str">
        <f t="shared" ca="1" si="0"/>
        <v>P20191001</v>
      </c>
    </row>
    <row r="26" spans="1:32" s="225" customFormat="1" ht="17.25" customHeight="1">
      <c r="A26" s="482"/>
      <c r="B26" s="226"/>
      <c r="C26" s="809"/>
      <c r="D26" s="810"/>
      <c r="E26" s="809"/>
      <c r="F26" s="811"/>
      <c r="G26" s="812"/>
      <c r="H26" s="813"/>
      <c r="I26" s="227" t="s">
        <v>481</v>
      </c>
      <c r="J26" s="228"/>
      <c r="K26" s="229"/>
      <c r="L26" s="599"/>
      <c r="M26" s="814"/>
      <c r="N26" s="815"/>
      <c r="AF26" s="604" t="str">
        <f t="shared" ca="1" si="0"/>
        <v>P20191001</v>
      </c>
    </row>
    <row r="27" spans="1:32" s="225" customFormat="1" ht="17.25" customHeight="1">
      <c r="A27" s="482"/>
      <c r="B27" s="226"/>
      <c r="C27" s="809"/>
      <c r="D27" s="810"/>
      <c r="E27" s="809"/>
      <c r="F27" s="811"/>
      <c r="G27" s="812"/>
      <c r="H27" s="813"/>
      <c r="I27" s="227" t="s">
        <v>481</v>
      </c>
      <c r="J27" s="228"/>
      <c r="K27" s="229"/>
      <c r="L27" s="599"/>
      <c r="M27" s="814"/>
      <c r="N27" s="815"/>
      <c r="AF27" s="604" t="str">
        <f t="shared" ca="1" si="0"/>
        <v>P20191001</v>
      </c>
    </row>
    <row r="28" spans="1:32" s="225" customFormat="1" ht="17.25" customHeight="1">
      <c r="A28" s="482"/>
      <c r="B28" s="226"/>
      <c r="C28" s="809"/>
      <c r="D28" s="810"/>
      <c r="E28" s="809"/>
      <c r="F28" s="811"/>
      <c r="G28" s="812"/>
      <c r="H28" s="813"/>
      <c r="I28" s="227" t="s">
        <v>481</v>
      </c>
      <c r="J28" s="228"/>
      <c r="K28" s="229"/>
      <c r="L28" s="599"/>
      <c r="M28" s="814"/>
      <c r="N28" s="815"/>
      <c r="AF28" s="604" t="str">
        <f t="shared" ca="1" si="0"/>
        <v>P20191001</v>
      </c>
    </row>
    <row r="29" spans="1:32" s="225" customFormat="1" ht="17.25" customHeight="1">
      <c r="A29" s="482"/>
      <c r="B29" s="226"/>
      <c r="C29" s="809"/>
      <c r="D29" s="810"/>
      <c r="E29" s="809"/>
      <c r="F29" s="811"/>
      <c r="G29" s="812"/>
      <c r="H29" s="813"/>
      <c r="I29" s="227" t="s">
        <v>481</v>
      </c>
      <c r="J29" s="228"/>
      <c r="K29" s="229"/>
      <c r="L29" s="599"/>
      <c r="M29" s="814"/>
      <c r="N29" s="815"/>
      <c r="AF29" s="604" t="str">
        <f t="shared" ca="1" si="0"/>
        <v>P20191001</v>
      </c>
    </row>
    <row r="30" spans="1:32" s="225" customFormat="1" ht="17.25" customHeight="1">
      <c r="A30" s="482"/>
      <c r="B30" s="226"/>
      <c r="C30" s="809"/>
      <c r="D30" s="810"/>
      <c r="E30" s="809"/>
      <c r="F30" s="810"/>
      <c r="G30" s="812"/>
      <c r="H30" s="816"/>
      <c r="I30" s="227" t="s">
        <v>481</v>
      </c>
      <c r="J30" s="228"/>
      <c r="K30" s="229"/>
      <c r="L30" s="599"/>
      <c r="M30" s="814"/>
      <c r="N30" s="815"/>
      <c r="AF30" s="604" t="str">
        <f t="shared" ca="1" si="0"/>
        <v>P20191001</v>
      </c>
    </row>
    <row r="31" spans="1:32" s="225" customFormat="1" ht="17.25" customHeight="1">
      <c r="A31" s="482"/>
      <c r="B31" s="226"/>
      <c r="C31" s="809"/>
      <c r="D31" s="810"/>
      <c r="E31" s="809"/>
      <c r="F31" s="810"/>
      <c r="G31" s="812"/>
      <c r="H31" s="816"/>
      <c r="I31" s="227" t="s">
        <v>481</v>
      </c>
      <c r="J31" s="228"/>
      <c r="K31" s="229"/>
      <c r="L31" s="599"/>
      <c r="M31" s="814"/>
      <c r="N31" s="815"/>
      <c r="AF31" s="604" t="str">
        <f t="shared" ca="1" si="0"/>
        <v>P20191001</v>
      </c>
    </row>
    <row r="32" spans="1:32" s="225" customFormat="1" ht="17.25" customHeight="1">
      <c r="A32" s="482"/>
      <c r="B32" s="226"/>
      <c r="C32" s="809"/>
      <c r="D32" s="810"/>
      <c r="E32" s="809"/>
      <c r="F32" s="810"/>
      <c r="G32" s="812"/>
      <c r="H32" s="816"/>
      <c r="I32" s="227" t="s">
        <v>481</v>
      </c>
      <c r="J32" s="228"/>
      <c r="K32" s="229"/>
      <c r="L32" s="599"/>
      <c r="M32" s="814"/>
      <c r="N32" s="815"/>
      <c r="AF32" s="604" t="str">
        <f t="shared" ca="1" si="0"/>
        <v>P20191001</v>
      </c>
    </row>
    <row r="33" spans="1:32" s="225" customFormat="1" ht="17.25" customHeight="1">
      <c r="A33" s="482"/>
      <c r="B33" s="226"/>
      <c r="C33" s="809"/>
      <c r="D33" s="810"/>
      <c r="E33" s="809"/>
      <c r="F33" s="810"/>
      <c r="G33" s="812"/>
      <c r="H33" s="816"/>
      <c r="I33" s="227" t="s">
        <v>481</v>
      </c>
      <c r="J33" s="228"/>
      <c r="K33" s="229"/>
      <c r="L33" s="599"/>
      <c r="M33" s="814"/>
      <c r="N33" s="815"/>
      <c r="AF33" s="604" t="str">
        <f t="shared" ca="1" si="0"/>
        <v>P20191001</v>
      </c>
    </row>
    <row r="34" spans="1:32" s="225" customFormat="1" ht="17.25" customHeight="1">
      <c r="A34" s="482"/>
      <c r="B34" s="226"/>
      <c r="C34" s="809"/>
      <c r="D34" s="810"/>
      <c r="E34" s="809"/>
      <c r="F34" s="810"/>
      <c r="G34" s="812"/>
      <c r="H34" s="816"/>
      <c r="I34" s="227" t="s">
        <v>481</v>
      </c>
      <c r="J34" s="228"/>
      <c r="K34" s="229"/>
      <c r="L34" s="599"/>
      <c r="M34" s="814"/>
      <c r="N34" s="815"/>
      <c r="AF34" s="604" t="str">
        <f t="shared" ca="1" si="0"/>
        <v>P20191001</v>
      </c>
    </row>
    <row r="35" spans="1:32" s="225" customFormat="1" ht="17.25" customHeight="1">
      <c r="A35" s="482"/>
      <c r="B35" s="226"/>
      <c r="C35" s="809"/>
      <c r="D35" s="810"/>
      <c r="E35" s="809"/>
      <c r="F35" s="811"/>
      <c r="G35" s="812"/>
      <c r="H35" s="813"/>
      <c r="I35" s="227" t="s">
        <v>481</v>
      </c>
      <c r="J35" s="228"/>
      <c r="K35" s="229"/>
      <c r="L35" s="599"/>
      <c r="M35" s="814"/>
      <c r="N35" s="815"/>
      <c r="AF35" s="604" t="str">
        <f t="shared" ca="1" si="0"/>
        <v>P20191001</v>
      </c>
    </row>
    <row r="36" spans="1:32" s="225" customFormat="1" ht="17.25" customHeight="1">
      <c r="A36" s="482"/>
      <c r="B36" s="226"/>
      <c r="C36" s="809"/>
      <c r="D36" s="810"/>
      <c r="E36" s="809"/>
      <c r="F36" s="811"/>
      <c r="G36" s="812"/>
      <c r="H36" s="813"/>
      <c r="I36" s="227" t="s">
        <v>481</v>
      </c>
      <c r="J36" s="228"/>
      <c r="K36" s="229"/>
      <c r="L36" s="599"/>
      <c r="M36" s="814"/>
      <c r="N36" s="815"/>
      <c r="AF36" s="604" t="str">
        <f t="shared" ca="1" si="0"/>
        <v>P20191001</v>
      </c>
    </row>
    <row r="37" spans="1:32" s="225" customFormat="1" ht="17.25" customHeight="1">
      <c r="A37" s="482"/>
      <c r="B37" s="226"/>
      <c r="C37" s="809"/>
      <c r="D37" s="810"/>
      <c r="E37" s="809"/>
      <c r="F37" s="811"/>
      <c r="G37" s="812"/>
      <c r="H37" s="813"/>
      <c r="I37" s="227" t="s">
        <v>481</v>
      </c>
      <c r="J37" s="228"/>
      <c r="K37" s="229"/>
      <c r="L37" s="599"/>
      <c r="M37" s="814"/>
      <c r="N37" s="815"/>
      <c r="AF37" s="604" t="str">
        <f t="shared" ca="1" si="0"/>
        <v>P20191001</v>
      </c>
    </row>
    <row r="38" spans="1:32" s="225" customFormat="1" ht="17.25" customHeight="1">
      <c r="A38" s="482"/>
      <c r="B38" s="226"/>
      <c r="C38" s="809"/>
      <c r="D38" s="810"/>
      <c r="E38" s="809"/>
      <c r="F38" s="811"/>
      <c r="G38" s="812"/>
      <c r="H38" s="813"/>
      <c r="I38" s="227" t="s">
        <v>481</v>
      </c>
      <c r="J38" s="228"/>
      <c r="K38" s="229"/>
      <c r="L38" s="599"/>
      <c r="M38" s="814"/>
      <c r="N38" s="815"/>
      <c r="AF38" s="604" t="str">
        <f t="shared" ca="1" si="0"/>
        <v>P20191001</v>
      </c>
    </row>
    <row r="39" spans="1:32" s="225" customFormat="1" ht="17.25" customHeight="1">
      <c r="A39" s="482"/>
      <c r="B39" s="226"/>
      <c r="C39" s="809"/>
      <c r="D39" s="810"/>
      <c r="E39" s="809"/>
      <c r="F39" s="811"/>
      <c r="G39" s="812"/>
      <c r="H39" s="813"/>
      <c r="I39" s="227" t="s">
        <v>481</v>
      </c>
      <c r="J39" s="228"/>
      <c r="K39" s="229"/>
      <c r="L39" s="599"/>
      <c r="M39" s="814"/>
      <c r="N39" s="815"/>
      <c r="AF39" s="604" t="str">
        <f t="shared" ca="1" si="0"/>
        <v>P20191001</v>
      </c>
    </row>
    <row r="40" spans="1:32" s="225" customFormat="1" ht="17.25" customHeight="1">
      <c r="A40" s="482"/>
      <c r="B40" s="226"/>
      <c r="C40" s="809"/>
      <c r="D40" s="810"/>
      <c r="E40" s="809"/>
      <c r="F40" s="811"/>
      <c r="G40" s="812"/>
      <c r="H40" s="813"/>
      <c r="I40" s="227" t="s">
        <v>481</v>
      </c>
      <c r="J40" s="228"/>
      <c r="K40" s="229"/>
      <c r="L40" s="599"/>
      <c r="M40" s="814"/>
      <c r="N40" s="815"/>
      <c r="AF40" s="604" t="str">
        <f t="shared" ca="1" si="0"/>
        <v>P20191001</v>
      </c>
    </row>
    <row r="41" spans="1:32" s="225" customFormat="1" ht="17.25" customHeight="1">
      <c r="A41" s="482"/>
      <c r="B41" s="226"/>
      <c r="C41" s="809"/>
      <c r="D41" s="810"/>
      <c r="E41" s="809"/>
      <c r="F41" s="811"/>
      <c r="G41" s="812"/>
      <c r="H41" s="813"/>
      <c r="I41" s="227" t="s">
        <v>481</v>
      </c>
      <c r="J41" s="228"/>
      <c r="K41" s="229"/>
      <c r="L41" s="599"/>
      <c r="M41" s="814"/>
      <c r="N41" s="815"/>
      <c r="AF41" s="604" t="str">
        <f t="shared" ca="1" si="0"/>
        <v>P20191001</v>
      </c>
    </row>
    <row r="42" spans="1:32" s="225" customFormat="1" ht="17.25" customHeight="1" thickBot="1">
      <c r="A42" s="483"/>
      <c r="B42" s="334"/>
      <c r="C42" s="799"/>
      <c r="D42" s="800"/>
      <c r="E42" s="799"/>
      <c r="F42" s="801"/>
      <c r="G42" s="802"/>
      <c r="H42" s="803"/>
      <c r="I42" s="335" t="s">
        <v>481</v>
      </c>
      <c r="J42" s="336"/>
      <c r="K42" s="337"/>
      <c r="L42" s="599"/>
      <c r="M42" s="804"/>
      <c r="N42" s="805"/>
      <c r="AF42" s="604" t="str">
        <f t="shared" ca="1" si="0"/>
        <v>P20191001</v>
      </c>
    </row>
    <row r="43" spans="1:32" ht="17.25" customHeight="1" thickBot="1">
      <c r="A43" s="806" t="s">
        <v>482</v>
      </c>
      <c r="B43" s="791"/>
      <c r="C43" s="791"/>
      <c r="D43" s="791"/>
      <c r="E43" s="791"/>
      <c r="F43" s="791"/>
      <c r="G43" s="791"/>
      <c r="H43" s="791"/>
      <c r="I43" s="791"/>
      <c r="J43" s="791"/>
      <c r="K43" s="791"/>
      <c r="L43" s="807">
        <f>SUM(M10:M42)</f>
        <v>0</v>
      </c>
      <c r="M43" s="807"/>
      <c r="N43" s="808"/>
    </row>
    <row r="44" spans="1:32" ht="17.25" customHeight="1">
      <c r="A44" s="505"/>
      <c r="B44" s="506"/>
      <c r="C44" s="506"/>
      <c r="D44" s="506"/>
      <c r="E44" s="506"/>
      <c r="F44" s="506"/>
      <c r="G44" s="784" t="s">
        <v>483</v>
      </c>
      <c r="H44" s="785"/>
      <c r="I44" s="785"/>
      <c r="J44" s="785"/>
      <c r="K44" s="786"/>
      <c r="L44" s="507" t="s">
        <v>484</v>
      </c>
      <c r="M44" s="793">
        <f>SUMIF(L10:L42,L44,M10:N42)</f>
        <v>0</v>
      </c>
      <c r="N44" s="794"/>
    </row>
    <row r="45" spans="1:32" ht="17.25" customHeight="1">
      <c r="A45" s="505"/>
      <c r="B45" s="506"/>
      <c r="C45" s="506"/>
      <c r="D45" s="506"/>
      <c r="E45" s="506"/>
      <c r="F45" s="506"/>
      <c r="G45" s="787"/>
      <c r="H45" s="788"/>
      <c r="I45" s="788"/>
      <c r="J45" s="788"/>
      <c r="K45" s="789"/>
      <c r="L45" s="508" t="s">
        <v>609</v>
      </c>
      <c r="M45" s="795">
        <f>SUMIF(L10:L42,L45,M10:N42)</f>
        <v>0</v>
      </c>
      <c r="N45" s="796"/>
    </row>
    <row r="46" spans="1:32" ht="17.25" customHeight="1">
      <c r="A46" s="505"/>
      <c r="B46" s="506"/>
      <c r="C46" s="506"/>
      <c r="D46" s="506"/>
      <c r="E46" s="506"/>
      <c r="F46" s="506"/>
      <c r="G46" s="787"/>
      <c r="H46" s="788"/>
      <c r="I46" s="788"/>
      <c r="J46" s="788"/>
      <c r="K46" s="789"/>
      <c r="L46" s="508" t="s">
        <v>485</v>
      </c>
      <c r="M46" s="795">
        <f>SUMIF(L10:L42,L46,M10:N42)</f>
        <v>0</v>
      </c>
      <c r="N46" s="796"/>
    </row>
    <row r="47" spans="1:32" ht="17.25" customHeight="1" thickBot="1">
      <c r="A47" s="505"/>
      <c r="B47" s="506"/>
      <c r="C47" s="506"/>
      <c r="D47" s="506"/>
      <c r="E47" s="506"/>
      <c r="F47" s="506"/>
      <c r="G47" s="790"/>
      <c r="H47" s="791"/>
      <c r="I47" s="791"/>
      <c r="J47" s="791"/>
      <c r="K47" s="792"/>
      <c r="L47" s="509" t="s">
        <v>486</v>
      </c>
      <c r="M47" s="797">
        <f>SUMIF(L10:L42,L47,M10:N42)</f>
        <v>0</v>
      </c>
      <c r="N47" s="798"/>
    </row>
    <row r="48" spans="1:32" ht="24" customHeight="1">
      <c r="A48" s="208"/>
      <c r="B48" s="210"/>
      <c r="C48" s="210"/>
      <c r="D48" s="210"/>
      <c r="E48" s="210"/>
      <c r="F48" s="210"/>
      <c r="G48" s="210"/>
      <c r="H48" s="210"/>
      <c r="I48" s="210"/>
      <c r="J48" s="210"/>
      <c r="K48" s="210"/>
      <c r="L48" s="783">
        <v>7.179999828338623</v>
      </c>
      <c r="M48" s="783"/>
      <c r="N48" s="783"/>
    </row>
    <row r="49" spans="2:17" ht="13.5" hidden="1">
      <c r="B49" s="230">
        <v>2</v>
      </c>
      <c r="C49" s="230">
        <v>3</v>
      </c>
      <c r="D49" s="230">
        <v>4</v>
      </c>
      <c r="E49" s="230">
        <v>5</v>
      </c>
      <c r="F49" s="230">
        <v>6</v>
      </c>
      <c r="G49" s="230">
        <v>7</v>
      </c>
      <c r="H49" s="230">
        <v>8</v>
      </c>
      <c r="I49" s="230">
        <v>9</v>
      </c>
      <c r="J49" s="230">
        <v>10</v>
      </c>
      <c r="K49" s="230">
        <v>11</v>
      </c>
      <c r="L49" s="230"/>
      <c r="M49" s="230">
        <v>12</v>
      </c>
      <c r="N49" s="230">
        <v>13</v>
      </c>
    </row>
    <row r="50" spans="2:17" ht="13.5" hidden="1"/>
    <row r="51" spans="2:17" ht="13.5" hidden="1">
      <c r="Q51" s="497" t="s">
        <v>190</v>
      </c>
    </row>
    <row r="52" spans="2:17" ht="13.5" hidden="1"/>
    <row r="53" spans="2:17" ht="13.5" hidden="1"/>
    <row r="54" spans="2:17" ht="13.5" hidden="1"/>
    <row r="55" spans="2:17" ht="13.5" hidden="1"/>
    <row r="56" spans="2:17" ht="13.5" hidden="1"/>
    <row r="57" spans="2:17" ht="13.5" hidden="1"/>
    <row r="58" spans="2:17" ht="13.5" hidden="1"/>
    <row r="59" spans="2:17" ht="13.5" hidden="1"/>
    <row r="60" spans="2:17" ht="13.5" hidden="1"/>
    <row r="61" spans="2:17" ht="13.5" hidden="1"/>
    <row r="62" spans="2:17" ht="13.5" hidden="1"/>
    <row r="63" spans="2:17" ht="13.5" hidden="1"/>
    <row r="64" spans="2:17" ht="13.5" hidden="1"/>
    <row r="65" ht="13.5" hidden="1"/>
    <row r="66" ht="13.5" hidden="1"/>
    <row r="67" ht="13.5" hidden="1"/>
    <row r="68" ht="13.5" hidden="1"/>
    <row r="69" ht="13.5" hidden="1"/>
    <row r="70" ht="13.5" hidden="1"/>
    <row r="71" ht="13.5" hidden="1"/>
    <row r="72" ht="13.5" hidden="1"/>
    <row r="73" ht="13.5" hidden="1"/>
    <row r="74" ht="13.5" hidden="1"/>
    <row r="75" ht="13.5" hidden="1"/>
    <row r="76" ht="13.5" hidden="1"/>
    <row r="77" ht="13.5" hidden="1"/>
    <row r="78" ht="13.5" hidden="1"/>
    <row r="79" ht="13.5" hidden="1"/>
    <row r="80" ht="13.5" hidden="1"/>
    <row r="81" ht="13.5" hidden="1"/>
    <row r="82" ht="13.5" hidden="1"/>
    <row r="83" ht="13.5" hidden="1"/>
    <row r="84" ht="13.5" hidden="1"/>
    <row r="85" ht="13.5" hidden="1"/>
    <row r="86" ht="13.5" hidden="1"/>
    <row r="87" ht="13.5" hidden="1"/>
    <row r="88" ht="13.5" hidden="1"/>
    <row r="89" ht="13.5" hidden="1"/>
    <row r="90" ht="13.5" hidden="1"/>
    <row r="91" ht="13.5" hidden="1"/>
    <row r="92" ht="13.5" hidden="1"/>
    <row r="93" ht="13.5" hidden="1"/>
    <row r="94" ht="13.5" hidden="1"/>
    <row r="95" ht="13.5" hidden="1"/>
    <row r="96" ht="13.5" hidden="1"/>
    <row r="97" ht="13.5" hidden="1"/>
    <row r="98" ht="13.5" hidden="1"/>
    <row r="99" ht="13.5" hidden="1"/>
    <row r="100" ht="13.5" hidden="1"/>
    <row r="101" ht="13.5"/>
    <row r="102" ht="13.5"/>
    <row r="103" ht="13.5"/>
    <row r="104" ht="13.5"/>
  </sheetData>
  <sheetProtection password="CAE0" sheet="1" objects="1" scenarios="1"/>
  <mergeCells count="155">
    <mergeCell ref="G6:I6"/>
    <mergeCell ref="J6:M6"/>
    <mergeCell ref="G7:I7"/>
    <mergeCell ref="J7:N7"/>
    <mergeCell ref="C9:D9"/>
    <mergeCell ref="E9:F9"/>
    <mergeCell ref="G9:J9"/>
    <mergeCell ref="M9:N9"/>
    <mergeCell ref="C1:I1"/>
    <mergeCell ref="G3:I3"/>
    <mergeCell ref="J3:N3"/>
    <mergeCell ref="G4:I4"/>
    <mergeCell ref="J4:N4"/>
    <mergeCell ref="G5:I5"/>
    <mergeCell ref="J5:N5"/>
    <mergeCell ref="C12:D12"/>
    <mergeCell ref="E12:F12"/>
    <mergeCell ref="G12:H12"/>
    <mergeCell ref="M12:N12"/>
    <mergeCell ref="C13:D13"/>
    <mergeCell ref="E13:F13"/>
    <mergeCell ref="G13:H13"/>
    <mergeCell ref="M13:N13"/>
    <mergeCell ref="C10:D10"/>
    <mergeCell ref="E10:F10"/>
    <mergeCell ref="G10:H10"/>
    <mergeCell ref="M10:N10"/>
    <mergeCell ref="C11:D11"/>
    <mergeCell ref="E11:F11"/>
    <mergeCell ref="G11:H11"/>
    <mergeCell ref="M11:N11"/>
    <mergeCell ref="C16:D16"/>
    <mergeCell ref="E16:F16"/>
    <mergeCell ref="G16:H16"/>
    <mergeCell ref="M16:N16"/>
    <mergeCell ref="C17:D17"/>
    <mergeCell ref="E17:F17"/>
    <mergeCell ref="G17:H17"/>
    <mergeCell ref="M17:N17"/>
    <mergeCell ref="C14:D14"/>
    <mergeCell ref="E14:F14"/>
    <mergeCell ref="G14:H14"/>
    <mergeCell ref="M14:N14"/>
    <mergeCell ref="C15:D15"/>
    <mergeCell ref="E15:F15"/>
    <mergeCell ref="G15:H15"/>
    <mergeCell ref="M15:N15"/>
    <mergeCell ref="C20:D20"/>
    <mergeCell ref="E20:F20"/>
    <mergeCell ref="G20:H20"/>
    <mergeCell ref="M20:N20"/>
    <mergeCell ref="C21:D21"/>
    <mergeCell ref="E21:F21"/>
    <mergeCell ref="G21:H21"/>
    <mergeCell ref="M21:N21"/>
    <mergeCell ref="C18:D18"/>
    <mergeCell ref="E18:F18"/>
    <mergeCell ref="G18:H18"/>
    <mergeCell ref="M18:N18"/>
    <mergeCell ref="C19:D19"/>
    <mergeCell ref="E19:F19"/>
    <mergeCell ref="G19:H19"/>
    <mergeCell ref="M19:N19"/>
    <mergeCell ref="C24:D24"/>
    <mergeCell ref="E24:F24"/>
    <mergeCell ref="G24:H24"/>
    <mergeCell ref="M24:N24"/>
    <mergeCell ref="C25:D25"/>
    <mergeCell ref="E25:F25"/>
    <mergeCell ref="G25:H25"/>
    <mergeCell ref="M25:N25"/>
    <mergeCell ref="C22:D22"/>
    <mergeCell ref="E22:F22"/>
    <mergeCell ref="G22:H22"/>
    <mergeCell ref="M22:N22"/>
    <mergeCell ref="C23:D23"/>
    <mergeCell ref="E23:F23"/>
    <mergeCell ref="G23:H23"/>
    <mergeCell ref="M23:N23"/>
    <mergeCell ref="C28:D28"/>
    <mergeCell ref="E28:F28"/>
    <mergeCell ref="G28:H28"/>
    <mergeCell ref="M28:N28"/>
    <mergeCell ref="C29:D29"/>
    <mergeCell ref="E29:F29"/>
    <mergeCell ref="G29:H29"/>
    <mergeCell ref="M29:N29"/>
    <mergeCell ref="C26:D26"/>
    <mergeCell ref="E26:F26"/>
    <mergeCell ref="G26:H26"/>
    <mergeCell ref="M26:N26"/>
    <mergeCell ref="C27:D27"/>
    <mergeCell ref="E27:F27"/>
    <mergeCell ref="G27:H27"/>
    <mergeCell ref="M27:N27"/>
    <mergeCell ref="C32:D32"/>
    <mergeCell ref="E32:F32"/>
    <mergeCell ref="G32:H32"/>
    <mergeCell ref="M32:N32"/>
    <mergeCell ref="C33:D33"/>
    <mergeCell ref="E33:F33"/>
    <mergeCell ref="G33:H33"/>
    <mergeCell ref="M33:N33"/>
    <mergeCell ref="C30:D30"/>
    <mergeCell ref="E30:F30"/>
    <mergeCell ref="G30:H30"/>
    <mergeCell ref="M30:N30"/>
    <mergeCell ref="C31:D31"/>
    <mergeCell ref="E31:F31"/>
    <mergeCell ref="G31:H31"/>
    <mergeCell ref="M31:N31"/>
    <mergeCell ref="C36:D36"/>
    <mergeCell ref="E36:F36"/>
    <mergeCell ref="G36:H36"/>
    <mergeCell ref="M36:N36"/>
    <mergeCell ref="C37:D37"/>
    <mergeCell ref="E37:F37"/>
    <mergeCell ref="G37:H37"/>
    <mergeCell ref="M37:N37"/>
    <mergeCell ref="C34:D34"/>
    <mergeCell ref="E34:F34"/>
    <mergeCell ref="G34:H34"/>
    <mergeCell ref="M34:N34"/>
    <mergeCell ref="C35:D35"/>
    <mergeCell ref="E35:F35"/>
    <mergeCell ref="G35:H35"/>
    <mergeCell ref="M35:N35"/>
    <mergeCell ref="C40:D40"/>
    <mergeCell ref="E40:F40"/>
    <mergeCell ref="G40:H40"/>
    <mergeCell ref="M40:N40"/>
    <mergeCell ref="C41:D41"/>
    <mergeCell ref="E41:F41"/>
    <mergeCell ref="G41:H41"/>
    <mergeCell ref="M41:N41"/>
    <mergeCell ref="C38:D38"/>
    <mergeCell ref="E38:F38"/>
    <mergeCell ref="G38:H38"/>
    <mergeCell ref="M38:N38"/>
    <mergeCell ref="C39:D39"/>
    <mergeCell ref="E39:F39"/>
    <mergeCell ref="G39:H39"/>
    <mergeCell ref="M39:N39"/>
    <mergeCell ref="L48:N48"/>
    <mergeCell ref="G44:K47"/>
    <mergeCell ref="M44:N44"/>
    <mergeCell ref="M45:N45"/>
    <mergeCell ref="M46:N46"/>
    <mergeCell ref="M47:N47"/>
    <mergeCell ref="C42:D42"/>
    <mergeCell ref="E42:F42"/>
    <mergeCell ref="G42:H42"/>
    <mergeCell ref="M42:N42"/>
    <mergeCell ref="A43:K43"/>
    <mergeCell ref="L43:N43"/>
  </mergeCells>
  <phoneticPr fontId="24"/>
  <conditionalFormatting sqref="M10:N42">
    <cfRule type="expression" dxfId="26" priority="2">
      <formula>AND(M10&lt;&gt;"",L10="")</formula>
    </cfRule>
  </conditionalFormatting>
  <dataValidations count="6">
    <dataValidation type="whole" imeMode="off" operator="greaterThan" allowBlank="1" showInputMessage="1" showErrorMessage="1" sqref="M10:N42" xr:uid="{00000000-0002-0000-0500-000001000000}">
      <formula1>0</formula1>
    </dataValidation>
    <dataValidation type="date" imeMode="off" operator="greaterThanOrEqual" allowBlank="1" showInputMessage="1" showErrorMessage="1" errorTitle="日付入力制限" error="XX/XX/XX (年/月/日)、またはXX/XX (月/日)で入力して下さい。" sqref="A10:A42" xr:uid="{00000000-0002-0000-0500-000002000000}">
      <formula1>43466</formula1>
    </dataValidation>
    <dataValidation type="list" allowBlank="1" showInputMessage="1" showErrorMessage="1" sqref="K10:K42" xr:uid="{00000000-0002-0000-0500-000003000000}">
      <formula1>"片道,往復"</formula1>
    </dataValidation>
    <dataValidation imeMode="hiragana" allowBlank="1" showInputMessage="1" showErrorMessage="1" sqref="B10:J42" xr:uid="{00000000-0002-0000-0500-000004000000}"/>
    <dataValidation type="list" operator="greaterThan" allowBlank="1" showInputMessage="1" showErrorMessage="1" sqref="L10:L42" xr:uid="{2F65C8DD-7A0B-4C68-B7DA-63DFBEA8E244}">
      <formula1>INDIRECT(AF10)</formula1>
    </dataValidation>
    <dataValidation imeMode="off" allowBlank="1" showInputMessage="1" showErrorMessage="1" sqref="J7:N7" xr:uid="{6EAD0412-5BD0-43BF-A861-8B718E08C38C}"/>
  </dataValidations>
  <pageMargins left="0.59055118110236227" right="0" top="0.59055118110236227" bottom="0" header="0" footer="0"/>
  <pageSetup paperSize="9" scale="99" fitToHeight="0" orientation="portrait" blackAndWhite="1" horizontalDpi="1200" verticalDpi="1200" r:id="rId1"/>
  <headerFooter alignWithMargins="0">
    <oddFooter>&amp;R&amp;"ＭＳ Ｐゴシック,斜体"&amp;9Printing &amp;D</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5">
    <pageSetUpPr fitToPage="1"/>
  </sheetPr>
  <dimension ref="A1:AH151"/>
  <sheetViews>
    <sheetView showGridLines="0" showRowColHeaders="0" showOutlineSymbols="0" zoomScaleNormal="100" workbookViewId="0">
      <selection activeCell="D9" sqref="D9:J9"/>
    </sheetView>
  </sheetViews>
  <sheetFormatPr defaultColWidth="0" defaultRowHeight="0" customHeight="1" zeroHeight="1"/>
  <cols>
    <col min="1" max="1" width="6.625" style="233" customWidth="1"/>
    <col min="2" max="2" width="3.625" style="233" customWidth="1"/>
    <col min="3" max="3" width="1.625" style="233" customWidth="1"/>
    <col min="4" max="4" width="8.625" style="233" customWidth="1"/>
    <col min="5" max="5" width="2.625" style="233" customWidth="1"/>
    <col min="6" max="6" width="6.875" style="233" customWidth="1"/>
    <col min="7" max="7" width="2.375" style="233" customWidth="1"/>
    <col min="8" max="8" width="1.625" style="233" customWidth="1"/>
    <col min="9" max="9" width="2.375" style="233" customWidth="1"/>
    <col min="10" max="10" width="5.625" style="233" customWidth="1"/>
    <col min="11" max="11" width="6.625" style="233" customWidth="1"/>
    <col min="12" max="12" width="2.875" style="233" customWidth="1"/>
    <col min="13" max="13" width="5.875" style="233" customWidth="1"/>
    <col min="14" max="14" width="3.625" style="233" customWidth="1"/>
    <col min="15" max="15" width="2.875" style="233" customWidth="1"/>
    <col min="16" max="16" width="8.625" style="233" customWidth="1"/>
    <col min="17" max="17" width="1.625" style="233" customWidth="1"/>
    <col min="18" max="18" width="2.625" style="233" customWidth="1"/>
    <col min="19" max="19" width="8.375" style="233" customWidth="1"/>
    <col min="20" max="20" width="10.625" style="233" customWidth="1"/>
    <col min="21" max="21" width="2.125" style="233" customWidth="1"/>
    <col min="22" max="22" width="2.125" style="233" hidden="1" customWidth="1"/>
    <col min="23" max="24" width="9" style="244" hidden="1" customWidth="1"/>
    <col min="25" max="25" width="10" style="244" hidden="1" customWidth="1"/>
    <col min="26" max="26" width="10" hidden="1" customWidth="1"/>
    <col min="27" max="29" width="10" style="244" hidden="1" customWidth="1"/>
    <col min="30" max="34" width="10" style="233" hidden="1" customWidth="1"/>
    <col min="35" max="16384" width="9" style="233" hidden="1"/>
  </cols>
  <sheetData>
    <row r="1" spans="1:33" ht="33" customHeight="1">
      <c r="A1" s="232"/>
      <c r="G1" s="1004" t="s">
        <v>243</v>
      </c>
      <c r="H1" s="1005"/>
      <c r="I1" s="1005"/>
      <c r="J1" s="1005"/>
      <c r="K1" s="1005"/>
      <c r="L1" s="1005"/>
      <c r="M1" s="1005"/>
      <c r="N1" s="1005"/>
      <c r="O1" s="1005"/>
      <c r="P1" s="232"/>
      <c r="Q1" s="232"/>
      <c r="R1" s="232"/>
      <c r="S1" s="232"/>
      <c r="T1" s="232"/>
    </row>
    <row r="2" spans="1:33" ht="21" customHeight="1" thickBot="1">
      <c r="A2" s="234"/>
      <c r="B2" s="906">
        <v>43374</v>
      </c>
      <c r="C2" s="906"/>
      <c r="D2" s="906"/>
      <c r="E2" s="906"/>
      <c r="F2" s="180"/>
      <c r="G2" s="235"/>
      <c r="H2" s="235"/>
      <c r="I2" s="235"/>
      <c r="J2" s="235"/>
      <c r="K2" s="235"/>
      <c r="L2" s="235"/>
      <c r="M2" s="235"/>
      <c r="N2" s="235"/>
      <c r="O2" s="235"/>
      <c r="P2" s="236"/>
      <c r="Q2" s="236"/>
      <c r="R2" s="496"/>
      <c r="S2" s="496"/>
      <c r="T2" s="496"/>
      <c r="AF2" s="603">
        <f ca="1">TODAY()</f>
        <v>43769</v>
      </c>
      <c r="AG2" s="603">
        <v>43739</v>
      </c>
    </row>
    <row r="3" spans="1:33" ht="17.25" customHeight="1">
      <c r="A3" s="234"/>
      <c r="B3" s="237"/>
      <c r="C3" s="237"/>
      <c r="D3" s="237"/>
      <c r="E3" s="235"/>
      <c r="F3" s="237"/>
      <c r="G3" s="237"/>
      <c r="H3" s="238"/>
      <c r="I3" s="238"/>
      <c r="J3" s="238"/>
      <c r="K3" s="238"/>
      <c r="L3" s="238"/>
      <c r="M3" s="745" t="s">
        <v>236</v>
      </c>
      <c r="N3" s="746"/>
      <c r="O3" s="746"/>
      <c r="P3" s="755"/>
      <c r="Q3" s="756"/>
      <c r="R3" s="756"/>
      <c r="S3" s="756"/>
      <c r="T3" s="757"/>
      <c r="AF3" s="605" t="s">
        <v>626</v>
      </c>
      <c r="AG3" s="605" t="s">
        <v>627</v>
      </c>
    </row>
    <row r="4" spans="1:33" ht="17.25" customHeight="1">
      <c r="A4" s="234"/>
      <c r="B4" s="237"/>
      <c r="C4" s="237"/>
      <c r="D4" s="237"/>
      <c r="E4" s="235"/>
      <c r="F4" s="496"/>
      <c r="G4" s="496"/>
      <c r="H4" s="496"/>
      <c r="I4" s="496"/>
      <c r="J4" s="496"/>
      <c r="K4" s="496"/>
      <c r="L4" s="496"/>
      <c r="M4" s="749" t="s">
        <v>237</v>
      </c>
      <c r="N4" s="750"/>
      <c r="O4" s="750"/>
      <c r="P4" s="758"/>
      <c r="Q4" s="759"/>
      <c r="R4" s="759"/>
      <c r="S4" s="759"/>
      <c r="T4" s="760"/>
      <c r="AF4" s="606" t="s">
        <v>610</v>
      </c>
      <c r="AG4" s="606" t="s">
        <v>610</v>
      </c>
    </row>
    <row r="5" spans="1:33" ht="17.25" customHeight="1">
      <c r="A5" s="496"/>
      <c r="B5" s="496"/>
      <c r="C5" s="496"/>
      <c r="D5" s="496"/>
      <c r="E5" s="496"/>
      <c r="F5" s="496"/>
      <c r="G5" s="496"/>
      <c r="H5" s="496"/>
      <c r="I5" s="496"/>
      <c r="J5" s="496"/>
      <c r="K5" s="496"/>
      <c r="L5" s="496"/>
      <c r="M5" s="749" t="s">
        <v>238</v>
      </c>
      <c r="N5" s="750"/>
      <c r="O5" s="750"/>
      <c r="P5" s="758"/>
      <c r="Q5" s="759"/>
      <c r="R5" s="759"/>
      <c r="S5" s="759"/>
      <c r="T5" s="760"/>
      <c r="AF5" s="606" t="s">
        <v>516</v>
      </c>
      <c r="AG5" s="606" t="s">
        <v>611</v>
      </c>
    </row>
    <row r="6" spans="1:33" ht="17.25" customHeight="1">
      <c r="A6" s="496"/>
      <c r="B6" s="496"/>
      <c r="C6" s="496"/>
      <c r="D6" s="496"/>
      <c r="E6" s="496"/>
      <c r="F6" s="496"/>
      <c r="G6" s="496"/>
      <c r="H6" s="496"/>
      <c r="I6" s="496"/>
      <c r="J6" s="496"/>
      <c r="K6" s="496"/>
      <c r="L6" s="496"/>
      <c r="M6" s="749" t="s">
        <v>487</v>
      </c>
      <c r="N6" s="750"/>
      <c r="O6" s="750"/>
      <c r="P6" s="1003"/>
      <c r="Q6" s="759"/>
      <c r="R6" s="759"/>
      <c r="S6" s="759"/>
      <c r="T6" s="516" t="s">
        <v>488</v>
      </c>
      <c r="AF6" s="606" t="s">
        <v>612</v>
      </c>
      <c r="AG6" s="606" t="s">
        <v>516</v>
      </c>
    </row>
    <row r="7" spans="1:33" ht="17.25" customHeight="1" thickBot="1">
      <c r="A7" s="235"/>
      <c r="B7" s="235"/>
      <c r="C7" s="235"/>
      <c r="D7" s="235"/>
      <c r="E7" s="235"/>
      <c r="F7" s="235"/>
      <c r="G7" s="235"/>
      <c r="H7" s="235"/>
      <c r="I7" s="235"/>
      <c r="J7" s="235"/>
      <c r="K7" s="235"/>
      <c r="L7" s="235"/>
      <c r="M7" s="751" t="s">
        <v>229</v>
      </c>
      <c r="N7" s="752"/>
      <c r="O7" s="752"/>
      <c r="P7" s="761"/>
      <c r="Q7" s="762"/>
      <c r="R7" s="762"/>
      <c r="S7" s="762"/>
      <c r="T7" s="763"/>
      <c r="AG7" s="606" t="s">
        <v>612</v>
      </c>
    </row>
    <row r="8" spans="1:33" ht="7.5" customHeight="1" thickBot="1">
      <c r="A8" s="235"/>
      <c r="B8" s="235"/>
      <c r="C8" s="235"/>
      <c r="D8" s="235"/>
      <c r="E8" s="235"/>
      <c r="F8" s="235"/>
      <c r="G8" s="235"/>
      <c r="H8" s="235"/>
      <c r="I8" s="235"/>
      <c r="J8" s="235"/>
      <c r="K8" s="235"/>
      <c r="L8" s="235"/>
      <c r="M8" s="235"/>
      <c r="N8" s="235"/>
      <c r="O8" s="235"/>
      <c r="P8" s="235"/>
      <c r="Q8" s="239"/>
      <c r="R8" s="239"/>
      <c r="S8" s="239"/>
      <c r="T8" s="239"/>
    </row>
    <row r="9" spans="1:33" ht="21" customHeight="1">
      <c r="A9" s="893" t="s">
        <v>191</v>
      </c>
      <c r="B9" s="894"/>
      <c r="C9" s="895"/>
      <c r="D9" s="1013"/>
      <c r="E9" s="1014"/>
      <c r="F9" s="1014"/>
      <c r="G9" s="1014"/>
      <c r="H9" s="1014"/>
      <c r="I9" s="1014"/>
      <c r="J9" s="1014"/>
      <c r="K9" s="495" t="s">
        <v>192</v>
      </c>
      <c r="L9" s="1015"/>
      <c r="M9" s="1014"/>
      <c r="N9" s="1014"/>
      <c r="O9" s="1014"/>
      <c r="P9" s="1014"/>
      <c r="Q9" s="1014"/>
      <c r="R9" s="1014"/>
      <c r="S9" s="1016" t="str">
        <f>IF(D9&lt;=L9,IF(L9=0,"泊  日",TEXT(L9-D9,"0泊 ") &amp; TEXT(L9-D9+1,"0日")),"0泊  0日")</f>
        <v>泊  日</v>
      </c>
      <c r="T9" s="1017"/>
    </row>
    <row r="10" spans="1:33" ht="21" customHeight="1">
      <c r="A10" s="873" t="s">
        <v>193</v>
      </c>
      <c r="B10" s="874"/>
      <c r="C10" s="875"/>
      <c r="D10" s="990"/>
      <c r="E10" s="991"/>
      <c r="F10" s="991"/>
      <c r="G10" s="991"/>
      <c r="H10" s="991"/>
      <c r="I10" s="991"/>
      <c r="J10" s="991"/>
      <c r="K10" s="991"/>
      <c r="L10" s="991"/>
      <c r="M10" s="991"/>
      <c r="N10" s="991"/>
      <c r="O10" s="991"/>
      <c r="P10" s="991"/>
      <c r="Q10" s="991"/>
      <c r="R10" s="991"/>
      <c r="S10" s="991"/>
      <c r="T10" s="992"/>
    </row>
    <row r="11" spans="1:33" ht="21" customHeight="1" thickBot="1">
      <c r="A11" s="879" t="s">
        <v>194</v>
      </c>
      <c r="B11" s="880"/>
      <c r="C11" s="881"/>
      <c r="D11" s="1006"/>
      <c r="E11" s="1007"/>
      <c r="F11" s="1007"/>
      <c r="G11" s="1007"/>
      <c r="H11" s="1007"/>
      <c r="I11" s="1007"/>
      <c r="J11" s="1007"/>
      <c r="K11" s="1007"/>
      <c r="L11" s="1007"/>
      <c r="M11" s="1007"/>
      <c r="N11" s="1007"/>
      <c r="O11" s="1007"/>
      <c r="P11" s="1007"/>
      <c r="Q11" s="1007"/>
      <c r="R11" s="1007"/>
      <c r="S11" s="1007"/>
      <c r="T11" s="1008"/>
    </row>
    <row r="12" spans="1:33" ht="5.0999999999999996" customHeight="1">
      <c r="A12" s="496"/>
      <c r="B12" s="496"/>
      <c r="C12" s="496"/>
      <c r="D12" s="496"/>
      <c r="E12" s="496"/>
      <c r="F12" s="496"/>
      <c r="G12" s="496"/>
      <c r="H12" s="496"/>
      <c r="I12" s="496"/>
      <c r="J12" s="496"/>
      <c r="K12" s="496"/>
      <c r="L12" s="496"/>
      <c r="M12" s="496"/>
      <c r="N12" s="496"/>
      <c r="O12" s="496"/>
      <c r="P12" s="496"/>
      <c r="Q12" s="496"/>
      <c r="R12" s="496"/>
      <c r="S12" s="496"/>
      <c r="T12" s="496"/>
    </row>
    <row r="13" spans="1:33" ht="17.25" customHeight="1" thickBot="1">
      <c r="A13" s="885" t="s">
        <v>244</v>
      </c>
      <c r="B13" s="886"/>
      <c r="C13" s="886"/>
      <c r="D13" s="496"/>
      <c r="E13" s="496"/>
      <c r="F13" s="496"/>
      <c r="G13" s="496"/>
      <c r="H13" s="496"/>
      <c r="I13" s="496"/>
      <c r="J13" s="496"/>
      <c r="K13" s="496"/>
      <c r="L13" s="496"/>
      <c r="M13" s="496"/>
      <c r="N13" s="496"/>
      <c r="O13" s="496"/>
      <c r="P13" s="496"/>
      <c r="Q13" s="496"/>
      <c r="R13" s="496"/>
      <c r="S13" s="496"/>
      <c r="T13" s="496"/>
      <c r="AG13" s="604" t="str">
        <f ca="1">IF(AF2&lt;AG2,AF3,AG3)</f>
        <v>P20191001</v>
      </c>
    </row>
    <row r="14" spans="1:33" ht="17.25" customHeight="1" thickBot="1">
      <c r="A14" s="597" t="s">
        <v>189</v>
      </c>
      <c r="B14" s="1009" t="s">
        <v>489</v>
      </c>
      <c r="C14" s="1010"/>
      <c r="D14" s="1011"/>
      <c r="E14" s="1012" t="s">
        <v>490</v>
      </c>
      <c r="F14" s="1010"/>
      <c r="G14" s="1010"/>
      <c r="H14" s="1010"/>
      <c r="I14" s="1010"/>
      <c r="J14" s="1010"/>
      <c r="K14" s="1011"/>
      <c r="L14" s="1009" t="s">
        <v>196</v>
      </c>
      <c r="M14" s="1010"/>
      <c r="N14" s="1010"/>
      <c r="O14" s="1010"/>
      <c r="P14" s="1010"/>
      <c r="Q14" s="1010"/>
      <c r="R14" s="1011"/>
      <c r="S14" s="598" t="s">
        <v>480</v>
      </c>
      <c r="T14" s="616" t="s">
        <v>632</v>
      </c>
    </row>
    <row r="15" spans="1:33" ht="17.25" customHeight="1">
      <c r="A15" s="484"/>
      <c r="B15" s="817"/>
      <c r="C15" s="993"/>
      <c r="D15" s="994"/>
      <c r="E15" s="995" t="s">
        <v>508</v>
      </c>
      <c r="F15" s="996"/>
      <c r="G15" s="996"/>
      <c r="H15" s="996"/>
      <c r="I15" s="997"/>
      <c r="J15" s="998"/>
      <c r="K15" s="999"/>
      <c r="L15" s="995" t="s">
        <v>508</v>
      </c>
      <c r="M15" s="1000"/>
      <c r="N15" s="1000"/>
      <c r="O15" s="1001"/>
      <c r="P15" s="998"/>
      <c r="Q15" s="1002"/>
      <c r="R15" s="999"/>
      <c r="S15" s="620"/>
      <c r="T15" s="627"/>
      <c r="AG15" s="604" t="str">
        <f t="shared" ref="AG15:AG28" ca="1" si="0">IF(A15="",PuLLD,IF(A15&lt;$AG$2,$AF$3,$AG$3))</f>
        <v>P20191001</v>
      </c>
    </row>
    <row r="16" spans="1:33" ht="17.25" customHeight="1">
      <c r="A16" s="484"/>
      <c r="B16" s="809"/>
      <c r="C16" s="977"/>
      <c r="D16" s="978"/>
      <c r="E16" s="851"/>
      <c r="F16" s="979"/>
      <c r="G16" s="979"/>
      <c r="H16" s="979"/>
      <c r="I16" s="980"/>
      <c r="J16" s="854"/>
      <c r="K16" s="855"/>
      <c r="L16" s="851"/>
      <c r="M16" s="852"/>
      <c r="N16" s="852"/>
      <c r="O16" s="853"/>
      <c r="P16" s="854"/>
      <c r="Q16" s="856"/>
      <c r="R16" s="855"/>
      <c r="S16" s="620"/>
      <c r="T16" s="621"/>
      <c r="AG16" s="604" t="str">
        <f t="shared" ca="1" si="0"/>
        <v>P20191001</v>
      </c>
    </row>
    <row r="17" spans="1:34" ht="17.25" customHeight="1">
      <c r="A17" s="484"/>
      <c r="B17" s="809"/>
      <c r="C17" s="977"/>
      <c r="D17" s="978"/>
      <c r="E17" s="851"/>
      <c r="F17" s="979"/>
      <c r="G17" s="979"/>
      <c r="H17" s="979"/>
      <c r="I17" s="980"/>
      <c r="J17" s="854"/>
      <c r="K17" s="855"/>
      <c r="L17" s="851"/>
      <c r="M17" s="852"/>
      <c r="N17" s="852"/>
      <c r="O17" s="853"/>
      <c r="P17" s="854"/>
      <c r="Q17" s="856"/>
      <c r="R17" s="855"/>
      <c r="S17" s="620"/>
      <c r="T17" s="621"/>
      <c r="AG17" s="604" t="str">
        <f t="shared" ca="1" si="0"/>
        <v>P20191001</v>
      </c>
    </row>
    <row r="18" spans="1:34" ht="17.25" customHeight="1">
      <c r="A18" s="484"/>
      <c r="B18" s="809"/>
      <c r="C18" s="977"/>
      <c r="D18" s="978"/>
      <c r="E18" s="851"/>
      <c r="F18" s="979"/>
      <c r="G18" s="979"/>
      <c r="H18" s="979"/>
      <c r="I18" s="980"/>
      <c r="J18" s="854"/>
      <c r="K18" s="855"/>
      <c r="L18" s="851"/>
      <c r="M18" s="852"/>
      <c r="N18" s="852"/>
      <c r="O18" s="853"/>
      <c r="P18" s="854"/>
      <c r="Q18" s="856"/>
      <c r="R18" s="855"/>
      <c r="S18" s="620"/>
      <c r="T18" s="621"/>
      <c r="AG18" s="604" t="str">
        <f t="shared" ca="1" si="0"/>
        <v>P20191001</v>
      </c>
    </row>
    <row r="19" spans="1:34" ht="17.25" customHeight="1">
      <c r="A19" s="484"/>
      <c r="B19" s="809"/>
      <c r="C19" s="977"/>
      <c r="D19" s="978"/>
      <c r="E19" s="851"/>
      <c r="F19" s="979"/>
      <c r="G19" s="979"/>
      <c r="H19" s="979"/>
      <c r="I19" s="980"/>
      <c r="J19" s="854"/>
      <c r="K19" s="855"/>
      <c r="L19" s="851"/>
      <c r="M19" s="852"/>
      <c r="N19" s="852"/>
      <c r="O19" s="853"/>
      <c r="P19" s="854"/>
      <c r="Q19" s="856"/>
      <c r="R19" s="855"/>
      <c r="S19" s="620"/>
      <c r="T19" s="621"/>
      <c r="AG19" s="604" t="str">
        <f t="shared" ca="1" si="0"/>
        <v>P20191001</v>
      </c>
    </row>
    <row r="20" spans="1:34" ht="17.25" customHeight="1">
      <c r="A20" s="484"/>
      <c r="B20" s="809"/>
      <c r="C20" s="977"/>
      <c r="D20" s="978"/>
      <c r="E20" s="851"/>
      <c r="F20" s="979"/>
      <c r="G20" s="979"/>
      <c r="H20" s="979"/>
      <c r="I20" s="980"/>
      <c r="J20" s="854"/>
      <c r="K20" s="855"/>
      <c r="L20" s="851"/>
      <c r="M20" s="852"/>
      <c r="N20" s="852"/>
      <c r="O20" s="853"/>
      <c r="P20" s="854"/>
      <c r="Q20" s="856"/>
      <c r="R20" s="855"/>
      <c r="S20" s="620"/>
      <c r="T20" s="621"/>
      <c r="AG20" s="604" t="str">
        <f t="shared" ca="1" si="0"/>
        <v>P20191001</v>
      </c>
    </row>
    <row r="21" spans="1:34" ht="17.25" customHeight="1">
      <c r="A21" s="484"/>
      <c r="B21" s="809"/>
      <c r="C21" s="850"/>
      <c r="D21" s="810"/>
      <c r="E21" s="851"/>
      <c r="F21" s="852"/>
      <c r="G21" s="852"/>
      <c r="H21" s="852"/>
      <c r="I21" s="853"/>
      <c r="J21" s="854"/>
      <c r="K21" s="855"/>
      <c r="L21" s="851"/>
      <c r="M21" s="852"/>
      <c r="N21" s="852"/>
      <c r="O21" s="853"/>
      <c r="P21" s="854"/>
      <c r="Q21" s="856"/>
      <c r="R21" s="855"/>
      <c r="S21" s="620"/>
      <c r="T21" s="621"/>
      <c r="AG21" s="604" t="str">
        <f t="shared" ca="1" si="0"/>
        <v>P20191001</v>
      </c>
    </row>
    <row r="22" spans="1:34" ht="17.25" customHeight="1">
      <c r="A22" s="484"/>
      <c r="B22" s="809"/>
      <c r="C22" s="977"/>
      <c r="D22" s="978"/>
      <c r="E22" s="851"/>
      <c r="F22" s="979"/>
      <c r="G22" s="979"/>
      <c r="H22" s="979"/>
      <c r="I22" s="980"/>
      <c r="J22" s="854"/>
      <c r="K22" s="855"/>
      <c r="L22" s="851"/>
      <c r="M22" s="852"/>
      <c r="N22" s="852"/>
      <c r="O22" s="853"/>
      <c r="P22" s="854"/>
      <c r="Q22" s="856"/>
      <c r="R22" s="855"/>
      <c r="S22" s="620"/>
      <c r="T22" s="621"/>
      <c r="AG22" s="604" t="str">
        <f t="shared" ca="1" si="0"/>
        <v>P20191001</v>
      </c>
    </row>
    <row r="23" spans="1:34" ht="17.25" customHeight="1">
      <c r="A23" s="484"/>
      <c r="B23" s="809"/>
      <c r="C23" s="977"/>
      <c r="D23" s="978"/>
      <c r="E23" s="851"/>
      <c r="F23" s="979"/>
      <c r="G23" s="979"/>
      <c r="H23" s="979"/>
      <c r="I23" s="980"/>
      <c r="J23" s="854"/>
      <c r="K23" s="855"/>
      <c r="L23" s="851"/>
      <c r="M23" s="852"/>
      <c r="N23" s="852"/>
      <c r="O23" s="853"/>
      <c r="P23" s="854"/>
      <c r="Q23" s="856"/>
      <c r="R23" s="855"/>
      <c r="S23" s="620"/>
      <c r="T23" s="621"/>
      <c r="AG23" s="604" t="str">
        <f t="shared" ca="1" si="0"/>
        <v>P20191001</v>
      </c>
    </row>
    <row r="24" spans="1:34" ht="17.25" customHeight="1">
      <c r="A24" s="484"/>
      <c r="B24" s="809"/>
      <c r="C24" s="977"/>
      <c r="D24" s="978"/>
      <c r="E24" s="851"/>
      <c r="F24" s="979"/>
      <c r="G24" s="979"/>
      <c r="H24" s="979"/>
      <c r="I24" s="980"/>
      <c r="J24" s="854"/>
      <c r="K24" s="855"/>
      <c r="L24" s="851"/>
      <c r="M24" s="852"/>
      <c r="N24" s="852"/>
      <c r="O24" s="853"/>
      <c r="P24" s="854"/>
      <c r="Q24" s="856"/>
      <c r="R24" s="855"/>
      <c r="S24" s="620"/>
      <c r="T24" s="621"/>
      <c r="AG24" s="604" t="str">
        <f t="shared" ca="1" si="0"/>
        <v>P20191001</v>
      </c>
    </row>
    <row r="25" spans="1:34" ht="17.25" customHeight="1">
      <c r="A25" s="484"/>
      <c r="B25" s="809"/>
      <c r="C25" s="977"/>
      <c r="D25" s="978"/>
      <c r="E25" s="851"/>
      <c r="F25" s="979"/>
      <c r="G25" s="979"/>
      <c r="H25" s="979"/>
      <c r="I25" s="980"/>
      <c r="J25" s="854"/>
      <c r="K25" s="855"/>
      <c r="L25" s="851"/>
      <c r="M25" s="852"/>
      <c r="N25" s="852"/>
      <c r="O25" s="853"/>
      <c r="P25" s="854"/>
      <c r="Q25" s="856"/>
      <c r="R25" s="855"/>
      <c r="S25" s="620"/>
      <c r="T25" s="621"/>
      <c r="AG25" s="604" t="str">
        <f t="shared" ca="1" si="0"/>
        <v>P20191001</v>
      </c>
    </row>
    <row r="26" spans="1:34" ht="17.25" customHeight="1">
      <c r="A26" s="484"/>
      <c r="B26" s="809"/>
      <c r="C26" s="977"/>
      <c r="D26" s="978"/>
      <c r="E26" s="851"/>
      <c r="F26" s="979"/>
      <c r="G26" s="979"/>
      <c r="H26" s="979"/>
      <c r="I26" s="980"/>
      <c r="J26" s="854"/>
      <c r="K26" s="855"/>
      <c r="L26" s="851"/>
      <c r="M26" s="852"/>
      <c r="N26" s="852"/>
      <c r="O26" s="853"/>
      <c r="P26" s="854"/>
      <c r="Q26" s="856"/>
      <c r="R26" s="855"/>
      <c r="S26" s="620"/>
      <c r="T26" s="621"/>
      <c r="AG26" s="604" t="str">
        <f t="shared" ca="1" si="0"/>
        <v>P20191001</v>
      </c>
    </row>
    <row r="27" spans="1:34" ht="17.25" customHeight="1">
      <c r="A27" s="484"/>
      <c r="B27" s="809"/>
      <c r="C27" s="977"/>
      <c r="D27" s="978"/>
      <c r="E27" s="851"/>
      <c r="F27" s="979"/>
      <c r="G27" s="979"/>
      <c r="H27" s="979"/>
      <c r="I27" s="980"/>
      <c r="J27" s="854"/>
      <c r="K27" s="855"/>
      <c r="L27" s="851"/>
      <c r="M27" s="852"/>
      <c r="N27" s="852"/>
      <c r="O27" s="853"/>
      <c r="P27" s="854"/>
      <c r="Q27" s="856"/>
      <c r="R27" s="855"/>
      <c r="S27" s="620"/>
      <c r="T27" s="621"/>
      <c r="AG27" s="604" t="str">
        <f t="shared" ca="1" si="0"/>
        <v>P20191001</v>
      </c>
    </row>
    <row r="28" spans="1:34" ht="17.25" customHeight="1" thickBot="1">
      <c r="A28" s="485"/>
      <c r="B28" s="799"/>
      <c r="C28" s="981"/>
      <c r="D28" s="982"/>
      <c r="E28" s="858"/>
      <c r="F28" s="983"/>
      <c r="G28" s="983"/>
      <c r="H28" s="983"/>
      <c r="I28" s="984"/>
      <c r="J28" s="861"/>
      <c r="K28" s="862"/>
      <c r="L28" s="858"/>
      <c r="M28" s="859"/>
      <c r="N28" s="859"/>
      <c r="O28" s="860"/>
      <c r="P28" s="861"/>
      <c r="Q28" s="863"/>
      <c r="R28" s="862"/>
      <c r="S28" s="620"/>
      <c r="T28" s="622"/>
      <c r="AG28" s="604" t="str">
        <f t="shared" ca="1" si="0"/>
        <v>P20191001</v>
      </c>
    </row>
    <row r="29" spans="1:34" ht="17.25" customHeight="1" thickBot="1">
      <c r="A29" s="240"/>
      <c r="B29" s="241"/>
      <c r="C29" s="496"/>
      <c r="D29" s="496"/>
      <c r="E29" s="496"/>
      <c r="F29" s="496"/>
      <c r="G29" s="496"/>
      <c r="H29" s="496"/>
      <c r="I29" s="496"/>
      <c r="J29" s="242"/>
      <c r="K29" s="496"/>
      <c r="L29" s="846" t="s">
        <v>197</v>
      </c>
      <c r="M29" s="970"/>
      <c r="N29" s="970"/>
      <c r="O29" s="970"/>
      <c r="P29" s="970"/>
      <c r="Q29" s="970"/>
      <c r="R29" s="971"/>
      <c r="S29" s="972">
        <f>S141+S93</f>
        <v>0</v>
      </c>
      <c r="T29" s="849"/>
    </row>
    <row r="30" spans="1:34" ht="17.25" customHeight="1" thickBot="1">
      <c r="A30" s="496"/>
      <c r="B30" s="496"/>
      <c r="C30" s="496"/>
      <c r="D30" s="496"/>
      <c r="E30" s="496"/>
      <c r="F30" s="496"/>
      <c r="G30" s="496"/>
      <c r="H30" s="496"/>
      <c r="I30" s="496"/>
      <c r="J30" s="496"/>
      <c r="K30" s="496"/>
      <c r="L30" s="496"/>
      <c r="M30" s="496"/>
      <c r="N30" s="496"/>
      <c r="O30" s="496"/>
      <c r="P30" s="973" t="s">
        <v>198</v>
      </c>
      <c r="Q30" s="974"/>
      <c r="R30" s="243" t="s">
        <v>199</v>
      </c>
      <c r="S30" s="972">
        <f>SUM(S15:T29)</f>
        <v>0</v>
      </c>
      <c r="T30" s="849"/>
      <c r="U30" s="244">
        <f>IF(SUM(S15:T28)&gt;0,1,0)</f>
        <v>0</v>
      </c>
    </row>
    <row r="31" spans="1:34" ht="17.25" customHeight="1" thickBot="1">
      <c r="A31" s="245" t="s">
        <v>245</v>
      </c>
      <c r="B31" s="245"/>
      <c r="C31" s="235"/>
      <c r="D31" s="235"/>
      <c r="E31" s="235"/>
      <c r="F31" s="235"/>
      <c r="G31" s="235"/>
      <c r="H31" s="235"/>
      <c r="I31" s="235"/>
      <c r="J31" s="235"/>
      <c r="K31" s="235"/>
      <c r="L31" s="235"/>
      <c r="M31" s="235"/>
      <c r="N31" s="235"/>
      <c r="O31" s="235"/>
      <c r="P31" s="235"/>
      <c r="Q31" s="235"/>
      <c r="R31" s="235"/>
      <c r="S31" s="235"/>
      <c r="T31" s="496"/>
      <c r="U31" s="246"/>
    </row>
    <row r="32" spans="1:34" ht="17.25" customHeight="1">
      <c r="A32" s="975"/>
      <c r="B32" s="976"/>
      <c r="C32" s="985" t="s">
        <v>630</v>
      </c>
      <c r="D32" s="986"/>
      <c r="E32" s="986"/>
      <c r="F32" s="986"/>
      <c r="G32" s="986"/>
      <c r="H32" s="986"/>
      <c r="I32" s="986"/>
      <c r="J32" s="986"/>
      <c r="K32" s="986"/>
      <c r="L32" s="986"/>
      <c r="M32" s="986"/>
      <c r="N32" s="986"/>
      <c r="O32" s="986"/>
      <c r="P32" s="987"/>
      <c r="Q32" s="988"/>
      <c r="R32" s="989"/>
      <c r="S32" s="617" t="s">
        <v>480</v>
      </c>
      <c r="T32" s="618" t="s">
        <v>632</v>
      </c>
      <c r="Z32" s="600" t="s">
        <v>613</v>
      </c>
      <c r="AA32" s="601" t="s">
        <v>491</v>
      </c>
      <c r="AB32" s="601" t="s">
        <v>610</v>
      </c>
      <c r="AC32" s="601" t="s">
        <v>516</v>
      </c>
      <c r="AD32" s="601" t="s">
        <v>611</v>
      </c>
      <c r="AE32" s="601" t="s">
        <v>612</v>
      </c>
      <c r="AG32" s="602"/>
      <c r="AH32" s="595"/>
    </row>
    <row r="33" spans="1:34" ht="21" customHeight="1">
      <c r="A33" s="963" t="s">
        <v>492</v>
      </c>
      <c r="B33" s="964"/>
      <c r="C33" s="960" t="s">
        <v>200</v>
      </c>
      <c r="D33" s="951"/>
      <c r="E33" s="961"/>
      <c r="F33" s="951"/>
      <c r="G33" s="951"/>
      <c r="H33" s="952" t="s">
        <v>201</v>
      </c>
      <c r="I33" s="953"/>
      <c r="J33" s="962"/>
      <c r="K33" s="955"/>
      <c r="L33" s="612"/>
      <c r="M33" s="874" t="s">
        <v>493</v>
      </c>
      <c r="N33" s="874"/>
      <c r="O33" s="874"/>
      <c r="P33" s="943">
        <v>0</v>
      </c>
      <c r="Q33" s="944"/>
      <c r="R33" s="945"/>
      <c r="S33" s="623"/>
      <c r="T33" s="621" t="str">
        <f>IF(OR(L33=0,P33=0),"",L33*P33)</f>
        <v/>
      </c>
      <c r="Z33" s="601">
        <f>IF(AND(E33&gt;0,J33&gt;0,E33&lt;=J33),DATEDIF(E33,J33,"D"),0)</f>
        <v>0</v>
      </c>
      <c r="AA33" s="601">
        <f>SUM(AB33:AE33)</f>
        <v>0</v>
      </c>
      <c r="AB33" s="601">
        <f>IF($S33=AB$32,$P33*$Z33,0)</f>
        <v>0</v>
      </c>
      <c r="AC33" s="601">
        <f>IF($S33=AC$32,$P33*$Z33,0)</f>
        <v>0</v>
      </c>
      <c r="AD33" s="601">
        <f>IF($S33=AD$32,$P33*$Z33,0)</f>
        <v>0</v>
      </c>
      <c r="AE33" s="601">
        <f>IF($S33=AE$32,$P33*$Z33,0)</f>
        <v>0</v>
      </c>
      <c r="AG33" s="604" t="str">
        <f ca="1">IF(E33="",PuLLD,IF(E33&lt;$AG$2,$AF$3,$AG$3))</f>
        <v>P20191001</v>
      </c>
      <c r="AH33" s="595"/>
    </row>
    <row r="34" spans="1:34" ht="21" customHeight="1">
      <c r="A34" s="965"/>
      <c r="B34" s="966"/>
      <c r="C34" s="960" t="s">
        <v>202</v>
      </c>
      <c r="D34" s="951"/>
      <c r="E34" s="961"/>
      <c r="F34" s="951"/>
      <c r="G34" s="951"/>
      <c r="H34" s="952" t="s">
        <v>201</v>
      </c>
      <c r="I34" s="952"/>
      <c r="J34" s="962"/>
      <c r="K34" s="955"/>
      <c r="L34" s="612"/>
      <c r="M34" s="874" t="s">
        <v>494</v>
      </c>
      <c r="N34" s="874"/>
      <c r="O34" s="874"/>
      <c r="P34" s="943">
        <v>0</v>
      </c>
      <c r="Q34" s="944"/>
      <c r="R34" s="945"/>
      <c r="S34" s="623"/>
      <c r="T34" s="621" t="str">
        <f t="shared" ref="T34:T36" si="1">IF(OR(L34=0,P34=0),"",L34*P34)</f>
        <v/>
      </c>
      <c r="Z34" s="601">
        <f>IF(AND(E34&gt;0,J34&gt;0,E34&lt;=J34),DATEDIF(E34,J34,"D"),0)</f>
        <v>0</v>
      </c>
      <c r="AA34" s="601">
        <f t="shared" ref="AA34:AA35" si="2">SUM(AB34:AE34)</f>
        <v>0</v>
      </c>
      <c r="AB34" s="601">
        <f>IF($S34=AB$32,$P34*$Z34,0)</f>
        <v>0</v>
      </c>
      <c r="AC34" s="601">
        <f t="shared" ref="AC34:AD37" si="3">IF($S34=AC$32,$P34*$Z34,0)</f>
        <v>0</v>
      </c>
      <c r="AD34" s="601">
        <f t="shared" si="3"/>
        <v>0</v>
      </c>
      <c r="AE34" s="601">
        <f>IF($S34=AE$32,$P34*$Z34,0)</f>
        <v>0</v>
      </c>
      <c r="AG34" s="604" t="str">
        <f ca="1">IF(E34="",PuLLD,IF(E34&lt;$AG$2,$AF$3,$AG$3))</f>
        <v>P20191001</v>
      </c>
      <c r="AH34" s="595"/>
    </row>
    <row r="35" spans="1:34" ht="21" customHeight="1">
      <c r="A35" s="967"/>
      <c r="B35" s="968"/>
      <c r="C35" s="960" t="s">
        <v>246</v>
      </c>
      <c r="D35" s="951"/>
      <c r="E35" s="247" t="s">
        <v>495</v>
      </c>
      <c r="F35" s="969"/>
      <c r="G35" s="969"/>
      <c r="H35" s="969"/>
      <c r="I35" s="969"/>
      <c r="J35" s="969"/>
      <c r="K35" s="494" t="s">
        <v>496</v>
      </c>
      <c r="L35" s="612"/>
      <c r="M35" s="874" t="s">
        <v>497</v>
      </c>
      <c r="N35" s="874"/>
      <c r="O35" s="874"/>
      <c r="P35" s="943">
        <v>0</v>
      </c>
      <c r="Q35" s="944"/>
      <c r="R35" s="945"/>
      <c r="S35" s="623"/>
      <c r="T35" s="621" t="str">
        <f t="shared" si="1"/>
        <v/>
      </c>
      <c r="Z35" s="601">
        <f>L35</f>
        <v>0</v>
      </c>
      <c r="AA35" s="601">
        <f t="shared" si="2"/>
        <v>0</v>
      </c>
      <c r="AB35" s="601">
        <f>IF($S35=AB$32,$P35*$Z35,0)</f>
        <v>0</v>
      </c>
      <c r="AC35" s="601">
        <f t="shared" si="3"/>
        <v>0</v>
      </c>
      <c r="AD35" s="601">
        <f t="shared" si="3"/>
        <v>0</v>
      </c>
      <c r="AE35" s="601">
        <f>IF($S35=AE$32,$P35*$Z35,0)</f>
        <v>0</v>
      </c>
      <c r="AG35" s="604" t="str">
        <f ca="1">IF(D9="",PuLLD,IF(D9&lt;$AG$2,$AF$3,$AG$3))</f>
        <v>P20191001</v>
      </c>
      <c r="AH35" s="595"/>
    </row>
    <row r="36" spans="1:34" ht="21" customHeight="1">
      <c r="A36" s="946" t="s">
        <v>498</v>
      </c>
      <c r="B36" s="947"/>
      <c r="C36" s="948"/>
      <c r="D36" s="949"/>
      <c r="E36" s="950"/>
      <c r="F36" s="951"/>
      <c r="G36" s="951"/>
      <c r="H36" s="952" t="s">
        <v>201</v>
      </c>
      <c r="I36" s="953"/>
      <c r="J36" s="954"/>
      <c r="K36" s="955"/>
      <c r="L36" s="612"/>
      <c r="M36" s="956" t="s">
        <v>499</v>
      </c>
      <c r="N36" s="956"/>
      <c r="O36" s="956"/>
      <c r="P36" s="943">
        <v>0</v>
      </c>
      <c r="Q36" s="943"/>
      <c r="R36" s="945"/>
      <c r="S36" s="623" t="s">
        <v>611</v>
      </c>
      <c r="T36" s="621" t="str">
        <f t="shared" si="1"/>
        <v/>
      </c>
      <c r="Z36" s="601">
        <f>L36</f>
        <v>0</v>
      </c>
      <c r="AA36" s="601">
        <f>IF(Z36="",0,SUM(AB36:AE36))</f>
        <v>0</v>
      </c>
      <c r="AB36" s="601">
        <f>IF($S36=AB$32,$P36*$Z36,0)</f>
        <v>0</v>
      </c>
      <c r="AC36" s="601">
        <f t="shared" si="3"/>
        <v>0</v>
      </c>
      <c r="AD36" s="601">
        <f>IF(Z36="",0,IF($S36=AD$32,$P36*$Z36,0))</f>
        <v>0</v>
      </c>
      <c r="AE36" s="601">
        <f>IF($S36=AE$32,$P36*$Z36,0)</f>
        <v>0</v>
      </c>
      <c r="AG36" s="604" t="str">
        <f ca="1">IF(E36="",PuLLD,IF(E36&lt;$AG$2,$AF$3,$AG$3))</f>
        <v>P20191001</v>
      </c>
      <c r="AH36" s="595"/>
    </row>
    <row r="37" spans="1:34" ht="21.75" customHeight="1" thickBot="1">
      <c r="A37" s="941" t="s">
        <v>640</v>
      </c>
      <c r="B37" s="942"/>
      <c r="C37" s="957"/>
      <c r="D37" s="958"/>
      <c r="E37" s="958"/>
      <c r="F37" s="958"/>
      <c r="G37" s="958"/>
      <c r="H37" s="958"/>
      <c r="I37" s="958"/>
      <c r="J37" s="958"/>
      <c r="K37" s="958"/>
      <c r="L37" s="958"/>
      <c r="M37" s="958"/>
      <c r="N37" s="958"/>
      <c r="O37" s="958"/>
      <c r="P37" s="958"/>
      <c r="Q37" s="958"/>
      <c r="R37" s="959"/>
      <c r="S37" s="623"/>
      <c r="T37" s="621"/>
      <c r="W37" s="595"/>
      <c r="X37" s="595"/>
      <c r="Y37" s="595"/>
      <c r="Z37" s="601">
        <f>L37</f>
        <v>0</v>
      </c>
      <c r="AA37" s="601">
        <f t="shared" ref="AA37" si="4">SUM(AB37:AE37)</f>
        <v>0</v>
      </c>
      <c r="AB37" s="601">
        <f>IF($S37=AB$32,$P37*$Z37,0)</f>
        <v>0</v>
      </c>
      <c r="AC37" s="601">
        <f t="shared" si="3"/>
        <v>0</v>
      </c>
      <c r="AD37" s="601">
        <f t="shared" si="3"/>
        <v>0</v>
      </c>
      <c r="AE37" s="601">
        <f>IF($S37=AE$32,$P37*$Z37,0)</f>
        <v>0</v>
      </c>
      <c r="AF37" s="595"/>
      <c r="AG37" s="604" t="str">
        <f ca="1">IF(D9="",PuLLD,IF(D9&lt;$AG$2,$AF$3,$AG$3))</f>
        <v>P20191001</v>
      </c>
    </row>
    <row r="38" spans="1:34" ht="21" customHeight="1">
      <c r="A38" s="938" t="s">
        <v>500</v>
      </c>
      <c r="B38" s="939"/>
      <c r="C38" s="939"/>
      <c r="D38" s="939"/>
      <c r="E38" s="939"/>
      <c r="F38" s="939"/>
      <c r="G38" s="939"/>
      <c r="H38" s="939"/>
      <c r="I38" s="939"/>
      <c r="J38" s="940"/>
      <c r="K38" s="874"/>
      <c r="L38" s="874"/>
      <c r="M38" s="874"/>
      <c r="N38" s="874" t="s">
        <v>203</v>
      </c>
      <c r="O38" s="874"/>
      <c r="P38" s="874"/>
      <c r="Q38" s="874"/>
      <c r="R38" s="610" t="s">
        <v>204</v>
      </c>
      <c r="S38" s="928">
        <f>SUM(S33:T37)</f>
        <v>0</v>
      </c>
      <c r="T38" s="929"/>
      <c r="W38" s="595"/>
      <c r="X38" s="595"/>
      <c r="Y38" s="595"/>
      <c r="Z38" s="595"/>
      <c r="AA38" s="595"/>
      <c r="AB38" s="595"/>
      <c r="AC38" s="595"/>
      <c r="AD38" s="595"/>
      <c r="AE38" s="595"/>
      <c r="AF38" s="595"/>
      <c r="AG38" s="595"/>
    </row>
    <row r="39" spans="1:34" ht="20.25" customHeight="1" thickBot="1">
      <c r="A39" s="925"/>
      <c r="B39" s="926"/>
      <c r="C39" s="926"/>
      <c r="D39" s="926"/>
      <c r="E39" s="926"/>
      <c r="F39" s="926"/>
      <c r="G39" s="926"/>
      <c r="H39" s="926"/>
      <c r="I39" s="926"/>
      <c r="J39" s="927"/>
      <c r="K39" s="874"/>
      <c r="L39" s="874"/>
      <c r="M39" s="874"/>
      <c r="N39" s="874" t="s">
        <v>501</v>
      </c>
      <c r="O39" s="874"/>
      <c r="P39" s="874"/>
      <c r="Q39" s="874"/>
      <c r="R39" s="610" t="s">
        <v>205</v>
      </c>
      <c r="S39" s="928">
        <f>S30+S38</f>
        <v>0</v>
      </c>
      <c r="T39" s="929"/>
      <c r="W39" s="595"/>
      <c r="X39" s="595"/>
      <c r="Y39" s="595"/>
      <c r="AF39" s="595"/>
      <c r="AG39" s="595"/>
    </row>
    <row r="40" spans="1:34" ht="20.25" hidden="1" customHeight="1">
      <c r="A40" s="930"/>
      <c r="B40" s="931"/>
      <c r="C40" s="931"/>
      <c r="D40" s="931"/>
      <c r="E40" s="931"/>
      <c r="F40" s="931"/>
      <c r="G40" s="931"/>
      <c r="H40" s="931"/>
      <c r="I40" s="931"/>
      <c r="J40" s="932"/>
      <c r="K40" s="933" t="s">
        <v>502</v>
      </c>
      <c r="L40" s="934"/>
      <c r="M40" s="934"/>
      <c r="N40" s="935" t="s">
        <v>206</v>
      </c>
      <c r="O40" s="935"/>
      <c r="P40" s="935"/>
      <c r="Q40" s="935"/>
      <c r="R40" s="596" t="s">
        <v>207</v>
      </c>
      <c r="S40" s="936"/>
      <c r="T40" s="937"/>
      <c r="W40" s="595"/>
      <c r="X40" s="595"/>
      <c r="Y40" s="595"/>
      <c r="AF40" s="595"/>
      <c r="AG40" s="595"/>
    </row>
    <row r="41" spans="1:34" ht="20.25" hidden="1" customHeight="1" thickBot="1">
      <c r="A41" s="925"/>
      <c r="B41" s="926"/>
      <c r="C41" s="926"/>
      <c r="D41" s="926"/>
      <c r="E41" s="926"/>
      <c r="F41" s="926"/>
      <c r="G41" s="926"/>
      <c r="H41" s="926"/>
      <c r="I41" s="926"/>
      <c r="J41" s="927"/>
      <c r="K41" s="880"/>
      <c r="L41" s="880"/>
      <c r="M41" s="880"/>
      <c r="N41" s="914" t="s">
        <v>503</v>
      </c>
      <c r="O41" s="880"/>
      <c r="P41" s="880"/>
      <c r="Q41" s="880"/>
      <c r="R41" s="248"/>
      <c r="S41" s="915">
        <f>S39</f>
        <v>0</v>
      </c>
      <c r="T41" s="916"/>
      <c r="W41" s="595"/>
      <c r="X41" s="595"/>
      <c r="Y41" s="595"/>
      <c r="AF41" s="595"/>
      <c r="AG41" s="595"/>
    </row>
    <row r="42" spans="1:34" ht="20.25" customHeight="1">
      <c r="A42" s="925"/>
      <c r="B42" s="926"/>
      <c r="C42" s="926"/>
      <c r="D42" s="926"/>
      <c r="E42" s="926"/>
      <c r="F42" s="926"/>
      <c r="G42" s="926"/>
      <c r="H42" s="926"/>
      <c r="I42" s="926"/>
      <c r="J42" s="927"/>
      <c r="K42" s="784" t="s">
        <v>483</v>
      </c>
      <c r="L42" s="917"/>
      <c r="M42" s="917"/>
      <c r="N42" s="917"/>
      <c r="O42" s="917"/>
      <c r="P42" s="917"/>
      <c r="Q42" s="917"/>
      <c r="R42" s="918"/>
      <c r="S42" s="507" t="s">
        <v>484</v>
      </c>
      <c r="T42" s="613">
        <f>SUMIF(S$15:S$28,S42,T$15:T$28)+SUMIF(S$33:S$37,S42,T$33:T$37)+SUMIF(S$61:S$92,S42,T$61:T$92)+SUMIF(S$109:S$140,S42,T$109:T$140)</f>
        <v>0</v>
      </c>
      <c r="W42" s="595"/>
      <c r="X42" s="595"/>
      <c r="Y42" s="595"/>
      <c r="AF42" s="595"/>
      <c r="AG42" s="595"/>
    </row>
    <row r="43" spans="1:34" ht="20.25" customHeight="1">
      <c r="A43" s="925"/>
      <c r="B43" s="926"/>
      <c r="C43" s="926"/>
      <c r="D43" s="926"/>
      <c r="E43" s="926"/>
      <c r="F43" s="926"/>
      <c r="G43" s="926"/>
      <c r="H43" s="926"/>
      <c r="I43" s="926"/>
      <c r="J43" s="927"/>
      <c r="K43" s="919"/>
      <c r="L43" s="920"/>
      <c r="M43" s="920"/>
      <c r="N43" s="920"/>
      <c r="O43" s="920"/>
      <c r="P43" s="920"/>
      <c r="Q43" s="920"/>
      <c r="R43" s="921"/>
      <c r="S43" s="508" t="s">
        <v>602</v>
      </c>
      <c r="T43" s="614">
        <f>SUMIF(S$15:S$28,S43,T$15:T$28)+SUMIF(S$33:S$37,S43,T$33:T$37)+SUMIF(S$61:S$92,S43,T$61:T$92)+SUMIF(S$109:S$140,S43,T$109:T$140)</f>
        <v>0</v>
      </c>
      <c r="W43" s="595"/>
      <c r="X43" s="595"/>
      <c r="Y43" s="595"/>
      <c r="AF43" s="595"/>
      <c r="AG43" s="595"/>
    </row>
    <row r="44" spans="1:34" ht="20.25" customHeight="1">
      <c r="A44" s="925"/>
      <c r="B44" s="926"/>
      <c r="C44" s="926"/>
      <c r="D44" s="926"/>
      <c r="E44" s="926"/>
      <c r="F44" s="926"/>
      <c r="G44" s="926"/>
      <c r="H44" s="926"/>
      <c r="I44" s="926"/>
      <c r="J44" s="927"/>
      <c r="K44" s="919"/>
      <c r="L44" s="920"/>
      <c r="M44" s="920"/>
      <c r="N44" s="920"/>
      <c r="O44" s="920"/>
      <c r="P44" s="920"/>
      <c r="Q44" s="920"/>
      <c r="R44" s="921"/>
      <c r="S44" s="508" t="s">
        <v>485</v>
      </c>
      <c r="T44" s="614">
        <f>SUMIF(S$15:S$28,S44,T$15:T$28)+SUMIF(S$33:S$37,S44,T$33:T$37)+SUMIF(S$61:S$92,S44,T$61:T$92)+SUMIF(S$109:S$140,S44,T$109:T$140)</f>
        <v>0</v>
      </c>
    </row>
    <row r="45" spans="1:34" ht="20.25" customHeight="1" thickBot="1">
      <c r="A45" s="911"/>
      <c r="B45" s="912"/>
      <c r="C45" s="912"/>
      <c r="D45" s="912"/>
      <c r="E45" s="912"/>
      <c r="F45" s="912"/>
      <c r="G45" s="912"/>
      <c r="H45" s="912"/>
      <c r="I45" s="912"/>
      <c r="J45" s="913"/>
      <c r="K45" s="922"/>
      <c r="L45" s="923"/>
      <c r="M45" s="923"/>
      <c r="N45" s="923"/>
      <c r="O45" s="923"/>
      <c r="P45" s="923"/>
      <c r="Q45" s="923"/>
      <c r="R45" s="924"/>
      <c r="S45" s="509" t="s">
        <v>486</v>
      </c>
      <c r="T45" s="615">
        <f>SUMIF(S$15:S$28,S45,T$15:T$28)+SUMIF(S$33:S$37,S45,T$33:T$37)+SUMIF(S$61:S$92,S45,T$61:T$92)+SUMIF(S$109:S$140,S45,T$109:T$140)</f>
        <v>0</v>
      </c>
    </row>
    <row r="46" spans="1:34" ht="24" customHeight="1">
      <c r="A46" s="249" t="str">
        <f>IF((U141+U93+U30)=3,"1/3",IF((U93+U30)=2,"1/2",""))</f>
        <v/>
      </c>
      <c r="B46" s="249"/>
      <c r="C46" s="249"/>
      <c r="D46" s="249"/>
      <c r="E46" s="249"/>
      <c r="F46" s="249"/>
      <c r="G46" s="249"/>
      <c r="H46" s="249"/>
      <c r="I46" s="249"/>
      <c r="J46" s="249"/>
      <c r="K46" s="496"/>
      <c r="L46" s="496"/>
      <c r="M46" s="496"/>
      <c r="N46" s="496"/>
      <c r="O46" s="496"/>
      <c r="P46" s="496"/>
      <c r="Q46" s="496"/>
      <c r="R46" s="237"/>
      <c r="S46" s="783">
        <v>7.179999828338623</v>
      </c>
      <c r="T46" s="783"/>
    </row>
    <row r="47" spans="1:34" ht="33" customHeight="1">
      <c r="A47" s="232"/>
      <c r="F47" s="904" t="s">
        <v>504</v>
      </c>
      <c r="G47" s="905"/>
      <c r="H47" s="905"/>
      <c r="I47" s="905"/>
      <c r="J47" s="905"/>
      <c r="K47" s="905"/>
      <c r="L47" s="905"/>
      <c r="M47" s="905"/>
      <c r="N47" s="905"/>
      <c r="O47" s="905"/>
      <c r="P47" s="905"/>
      <c r="Q47" s="905"/>
      <c r="R47" s="905"/>
      <c r="S47" s="250"/>
      <c r="T47" s="250"/>
    </row>
    <row r="48" spans="1:34" ht="21" customHeight="1" thickBot="1">
      <c r="A48" s="235"/>
      <c r="B48" s="906">
        <f>B2</f>
        <v>43374</v>
      </c>
      <c r="C48" s="906"/>
      <c r="D48" s="906"/>
      <c r="E48" s="906"/>
      <c r="F48" s="180"/>
      <c r="G48" s="235"/>
      <c r="H48" s="235"/>
      <c r="I48" s="235"/>
      <c r="J48" s="235"/>
      <c r="K48" s="235"/>
      <c r="L48" s="235"/>
      <c r="M48" s="510"/>
      <c r="N48" s="510"/>
      <c r="O48" s="510"/>
      <c r="P48" s="511"/>
      <c r="Q48" s="511"/>
      <c r="R48" s="512"/>
      <c r="S48" s="512"/>
      <c r="T48" s="512"/>
    </row>
    <row r="49" spans="1:33" ht="17.25" customHeight="1">
      <c r="A49" s="234"/>
      <c r="B49" s="237"/>
      <c r="C49" s="237"/>
      <c r="D49" s="237"/>
      <c r="E49" s="235"/>
      <c r="F49" s="237"/>
      <c r="G49" s="237"/>
      <c r="H49" s="238"/>
      <c r="I49" s="238"/>
      <c r="J49" s="238"/>
      <c r="K49" s="238"/>
      <c r="L49" s="238"/>
      <c r="M49" s="745" t="s">
        <v>236</v>
      </c>
      <c r="N49" s="746"/>
      <c r="O49" s="746"/>
      <c r="P49" s="907" t="str">
        <f>IF(P3="","",P3)</f>
        <v/>
      </c>
      <c r="Q49" s="908"/>
      <c r="R49" s="908"/>
      <c r="S49" s="908"/>
      <c r="T49" s="909"/>
    </row>
    <row r="50" spans="1:33" ht="17.25" customHeight="1">
      <c r="A50" s="234"/>
      <c r="B50" s="237"/>
      <c r="C50" s="237"/>
      <c r="D50" s="237"/>
      <c r="E50" s="235"/>
      <c r="F50" s="496"/>
      <c r="G50" s="496"/>
      <c r="H50" s="496"/>
      <c r="I50" s="496"/>
      <c r="J50" s="496"/>
      <c r="K50" s="496"/>
      <c r="L50" s="496"/>
      <c r="M50" s="749" t="s">
        <v>237</v>
      </c>
      <c r="N50" s="750"/>
      <c r="O50" s="750"/>
      <c r="P50" s="901" t="str">
        <f>IF(P4="","",P4)</f>
        <v/>
      </c>
      <c r="Q50" s="902"/>
      <c r="R50" s="902"/>
      <c r="S50" s="902"/>
      <c r="T50" s="903"/>
    </row>
    <row r="51" spans="1:33" ht="17.25" customHeight="1">
      <c r="A51" s="496"/>
      <c r="B51" s="576"/>
      <c r="C51" s="576"/>
      <c r="D51" s="576"/>
      <c r="E51" s="576"/>
      <c r="F51" s="496"/>
      <c r="G51" s="496"/>
      <c r="H51" s="496"/>
      <c r="I51" s="496"/>
      <c r="J51" s="496"/>
      <c r="K51" s="496"/>
      <c r="L51" s="496"/>
      <c r="M51" s="749" t="s">
        <v>238</v>
      </c>
      <c r="N51" s="750"/>
      <c r="O51" s="750"/>
      <c r="P51" s="901" t="str">
        <f>IF(P5="","",P5)</f>
        <v/>
      </c>
      <c r="Q51" s="902"/>
      <c r="R51" s="902"/>
      <c r="S51" s="902"/>
      <c r="T51" s="903"/>
    </row>
    <row r="52" spans="1:33" ht="17.25" customHeight="1">
      <c r="A52" s="496"/>
      <c r="B52" s="496"/>
      <c r="C52" s="496"/>
      <c r="D52" s="496"/>
      <c r="E52" s="496"/>
      <c r="F52" s="496"/>
      <c r="G52" s="496"/>
      <c r="H52" s="496"/>
      <c r="I52" s="496"/>
      <c r="J52" s="496"/>
      <c r="K52" s="496"/>
      <c r="L52" s="496"/>
      <c r="M52" s="749" t="s">
        <v>505</v>
      </c>
      <c r="N52" s="750"/>
      <c r="O52" s="750"/>
      <c r="P52" s="901" t="str">
        <f>IF(P6="","",P6)</f>
        <v/>
      </c>
      <c r="Q52" s="902"/>
      <c r="R52" s="902"/>
      <c r="S52" s="902"/>
      <c r="T52" s="516" t="s">
        <v>247</v>
      </c>
    </row>
    <row r="53" spans="1:33" ht="17.25" customHeight="1" thickBot="1">
      <c r="A53" s="235"/>
      <c r="B53" s="235"/>
      <c r="C53" s="235"/>
      <c r="D53" s="235"/>
      <c r="E53" s="235"/>
      <c r="F53" s="235"/>
      <c r="G53" s="235"/>
      <c r="H53" s="235"/>
      <c r="I53" s="235"/>
      <c r="J53" s="235"/>
      <c r="K53" s="235"/>
      <c r="L53" s="235"/>
      <c r="M53" s="751" t="s">
        <v>229</v>
      </c>
      <c r="N53" s="752"/>
      <c r="O53" s="752"/>
      <c r="P53" s="890" t="str">
        <f>IF(P7="","",P7)</f>
        <v/>
      </c>
      <c r="Q53" s="891"/>
      <c r="R53" s="891"/>
      <c r="S53" s="891"/>
      <c r="T53" s="892"/>
    </row>
    <row r="54" spans="1:33" ht="7.5" customHeight="1" thickBot="1">
      <c r="A54" s="235"/>
      <c r="B54" s="235"/>
      <c r="C54" s="235"/>
      <c r="D54" s="235"/>
      <c r="E54" s="235"/>
      <c r="F54" s="235"/>
      <c r="G54" s="235"/>
      <c r="H54" s="235"/>
      <c r="I54" s="235"/>
      <c r="J54" s="235"/>
      <c r="K54" s="235"/>
      <c r="L54" s="235"/>
      <c r="M54" s="235"/>
      <c r="N54" s="235"/>
      <c r="O54" s="235"/>
      <c r="P54" s="235"/>
      <c r="Q54" s="235"/>
      <c r="R54" s="235"/>
      <c r="S54" s="251"/>
      <c r="T54" s="251"/>
    </row>
    <row r="55" spans="1:33" ht="21" customHeight="1">
      <c r="A55" s="893" t="s">
        <v>191</v>
      </c>
      <c r="B55" s="894"/>
      <c r="C55" s="895"/>
      <c r="D55" s="896" t="str">
        <f>IF(D9="","",D9)</f>
        <v/>
      </c>
      <c r="E55" s="897"/>
      <c r="F55" s="897"/>
      <c r="G55" s="897"/>
      <c r="H55" s="897"/>
      <c r="I55" s="897"/>
      <c r="J55" s="897"/>
      <c r="K55" s="513" t="s">
        <v>192</v>
      </c>
      <c r="L55" s="898" t="str">
        <f>IF(L9="","",L9)</f>
        <v/>
      </c>
      <c r="M55" s="897"/>
      <c r="N55" s="897"/>
      <c r="O55" s="897"/>
      <c r="P55" s="897"/>
      <c r="Q55" s="897"/>
      <c r="R55" s="897"/>
      <c r="S55" s="899" t="str">
        <f>S9</f>
        <v>泊  日</v>
      </c>
      <c r="T55" s="900"/>
    </row>
    <row r="56" spans="1:33" ht="21" customHeight="1">
      <c r="A56" s="873" t="s">
        <v>193</v>
      </c>
      <c r="B56" s="874"/>
      <c r="C56" s="875"/>
      <c r="D56" s="876" t="str">
        <f>IF(D10="","",D10)</f>
        <v/>
      </c>
      <c r="E56" s="877"/>
      <c r="F56" s="877"/>
      <c r="G56" s="877"/>
      <c r="H56" s="877"/>
      <c r="I56" s="877"/>
      <c r="J56" s="877"/>
      <c r="K56" s="877"/>
      <c r="L56" s="877"/>
      <c r="M56" s="877"/>
      <c r="N56" s="877"/>
      <c r="O56" s="877"/>
      <c r="P56" s="877"/>
      <c r="Q56" s="877"/>
      <c r="R56" s="877"/>
      <c r="S56" s="877"/>
      <c r="T56" s="878"/>
    </row>
    <row r="57" spans="1:33" ht="21" customHeight="1" thickBot="1">
      <c r="A57" s="879" t="s">
        <v>194</v>
      </c>
      <c r="B57" s="880"/>
      <c r="C57" s="881"/>
      <c r="D57" s="882" t="str">
        <f>IF(D11="","",D11)</f>
        <v/>
      </c>
      <c r="E57" s="883"/>
      <c r="F57" s="883"/>
      <c r="G57" s="883"/>
      <c r="H57" s="883"/>
      <c r="I57" s="883"/>
      <c r="J57" s="883"/>
      <c r="K57" s="883"/>
      <c r="L57" s="883"/>
      <c r="M57" s="883"/>
      <c r="N57" s="883"/>
      <c r="O57" s="883"/>
      <c r="P57" s="883"/>
      <c r="Q57" s="883"/>
      <c r="R57" s="883"/>
      <c r="S57" s="883"/>
      <c r="T57" s="884"/>
    </row>
    <row r="58" spans="1:33" ht="5.0999999999999996" customHeight="1">
      <c r="A58" s="496"/>
      <c r="B58" s="496"/>
      <c r="C58" s="496"/>
      <c r="D58" s="496"/>
      <c r="E58" s="496"/>
      <c r="F58" s="496"/>
      <c r="G58" s="496"/>
      <c r="H58" s="496"/>
      <c r="I58" s="496"/>
      <c r="J58" s="496"/>
      <c r="K58" s="496"/>
      <c r="L58" s="496"/>
      <c r="M58" s="496"/>
      <c r="N58" s="496"/>
      <c r="O58" s="496"/>
      <c r="P58" s="496"/>
      <c r="Q58" s="496"/>
      <c r="R58" s="496"/>
      <c r="S58" s="496"/>
      <c r="T58" s="496"/>
    </row>
    <row r="59" spans="1:33" ht="17.25" customHeight="1" thickBot="1">
      <c r="A59" s="885" t="s">
        <v>244</v>
      </c>
      <c r="B59" s="886"/>
      <c r="C59" s="886"/>
      <c r="D59" s="496"/>
      <c r="E59" s="496"/>
      <c r="F59" s="496"/>
      <c r="G59" s="496"/>
      <c r="H59" s="496"/>
      <c r="I59" s="496"/>
      <c r="J59" s="496"/>
      <c r="K59" s="496"/>
      <c r="L59" s="496"/>
      <c r="M59" s="496"/>
      <c r="N59" s="496"/>
      <c r="O59" s="496"/>
      <c r="P59" s="496"/>
      <c r="Q59" s="496"/>
      <c r="R59" s="496"/>
      <c r="S59" s="496"/>
      <c r="T59" s="496"/>
    </row>
    <row r="60" spans="1:33" ht="17.25" customHeight="1" thickBot="1">
      <c r="A60" s="514" t="s">
        <v>189</v>
      </c>
      <c r="B60" s="910" t="s">
        <v>506</v>
      </c>
      <c r="C60" s="656"/>
      <c r="D60" s="657"/>
      <c r="E60" s="910" t="s">
        <v>195</v>
      </c>
      <c r="F60" s="656"/>
      <c r="G60" s="656"/>
      <c r="H60" s="656"/>
      <c r="I60" s="656"/>
      <c r="J60" s="656"/>
      <c r="K60" s="657"/>
      <c r="L60" s="910" t="s">
        <v>196</v>
      </c>
      <c r="M60" s="656"/>
      <c r="N60" s="656"/>
      <c r="O60" s="656"/>
      <c r="P60" s="656"/>
      <c r="Q60" s="656"/>
      <c r="R60" s="657"/>
      <c r="S60" s="611" t="s">
        <v>480</v>
      </c>
      <c r="T60" s="616" t="s">
        <v>632</v>
      </c>
    </row>
    <row r="61" spans="1:33" ht="17.25" customHeight="1">
      <c r="A61" s="515"/>
      <c r="B61" s="864"/>
      <c r="C61" s="865"/>
      <c r="D61" s="866"/>
      <c r="E61" s="867" t="s">
        <v>508</v>
      </c>
      <c r="F61" s="868"/>
      <c r="G61" s="868"/>
      <c r="H61" s="868"/>
      <c r="I61" s="869"/>
      <c r="J61" s="870"/>
      <c r="K61" s="871"/>
      <c r="L61" s="867" t="s">
        <v>508</v>
      </c>
      <c r="M61" s="868"/>
      <c r="N61" s="868"/>
      <c r="O61" s="869"/>
      <c r="P61" s="870"/>
      <c r="Q61" s="872"/>
      <c r="R61" s="871"/>
      <c r="S61" s="624"/>
      <c r="T61" s="625"/>
      <c r="AG61" s="604" t="str">
        <f t="shared" ref="AG61:AG92" ca="1" si="5">IF(A61="",PuLLD,IF(A61&lt;$AG$2,$AF$3,$AG$3))</f>
        <v>P20191001</v>
      </c>
    </row>
    <row r="62" spans="1:33" ht="17.25" customHeight="1">
      <c r="A62" s="484"/>
      <c r="B62" s="809"/>
      <c r="C62" s="850"/>
      <c r="D62" s="810"/>
      <c r="E62" s="851"/>
      <c r="F62" s="852"/>
      <c r="G62" s="852"/>
      <c r="H62" s="852"/>
      <c r="I62" s="853"/>
      <c r="J62" s="854"/>
      <c r="K62" s="855"/>
      <c r="L62" s="851"/>
      <c r="M62" s="852"/>
      <c r="N62" s="852"/>
      <c r="O62" s="853"/>
      <c r="P62" s="854"/>
      <c r="Q62" s="856"/>
      <c r="R62" s="855"/>
      <c r="S62" s="620"/>
      <c r="T62" s="621"/>
      <c r="AG62" s="604" t="str">
        <f t="shared" ca="1" si="5"/>
        <v>P20191001</v>
      </c>
    </row>
    <row r="63" spans="1:33" ht="17.25" customHeight="1">
      <c r="A63" s="484"/>
      <c r="B63" s="809"/>
      <c r="C63" s="850"/>
      <c r="D63" s="810"/>
      <c r="E63" s="851"/>
      <c r="F63" s="852"/>
      <c r="G63" s="852"/>
      <c r="H63" s="852"/>
      <c r="I63" s="853"/>
      <c r="J63" s="854"/>
      <c r="K63" s="855"/>
      <c r="L63" s="851"/>
      <c r="M63" s="852"/>
      <c r="N63" s="852"/>
      <c r="O63" s="853"/>
      <c r="P63" s="854"/>
      <c r="Q63" s="856"/>
      <c r="R63" s="855"/>
      <c r="S63" s="620"/>
      <c r="T63" s="621"/>
      <c r="AG63" s="604" t="str">
        <f t="shared" ca="1" si="5"/>
        <v>P20191001</v>
      </c>
    </row>
    <row r="64" spans="1:33" ht="17.25" customHeight="1">
      <c r="A64" s="484"/>
      <c r="B64" s="809"/>
      <c r="C64" s="850"/>
      <c r="D64" s="810"/>
      <c r="E64" s="851"/>
      <c r="F64" s="852"/>
      <c r="G64" s="852"/>
      <c r="H64" s="852"/>
      <c r="I64" s="853"/>
      <c r="J64" s="854"/>
      <c r="K64" s="855"/>
      <c r="L64" s="851"/>
      <c r="M64" s="852"/>
      <c r="N64" s="852"/>
      <c r="O64" s="853"/>
      <c r="P64" s="854"/>
      <c r="Q64" s="856"/>
      <c r="R64" s="855"/>
      <c r="S64" s="620"/>
      <c r="T64" s="621"/>
      <c r="AG64" s="604" t="str">
        <f t="shared" ca="1" si="5"/>
        <v>P20191001</v>
      </c>
    </row>
    <row r="65" spans="1:33" ht="17.25" customHeight="1">
      <c r="A65" s="484"/>
      <c r="B65" s="809"/>
      <c r="C65" s="850"/>
      <c r="D65" s="810"/>
      <c r="E65" s="851"/>
      <c r="F65" s="852"/>
      <c r="G65" s="852"/>
      <c r="H65" s="852"/>
      <c r="I65" s="853"/>
      <c r="J65" s="854"/>
      <c r="K65" s="855"/>
      <c r="L65" s="851"/>
      <c r="M65" s="852"/>
      <c r="N65" s="852"/>
      <c r="O65" s="853"/>
      <c r="P65" s="854"/>
      <c r="Q65" s="856"/>
      <c r="R65" s="855"/>
      <c r="S65" s="620"/>
      <c r="T65" s="621"/>
      <c r="AG65" s="604" t="str">
        <f t="shared" ca="1" si="5"/>
        <v>P20191001</v>
      </c>
    </row>
    <row r="66" spans="1:33" ht="17.25" customHeight="1">
      <c r="A66" s="484"/>
      <c r="B66" s="809"/>
      <c r="C66" s="850"/>
      <c r="D66" s="810"/>
      <c r="E66" s="851"/>
      <c r="F66" s="852"/>
      <c r="G66" s="852"/>
      <c r="H66" s="852"/>
      <c r="I66" s="853"/>
      <c r="J66" s="854"/>
      <c r="K66" s="855"/>
      <c r="L66" s="851"/>
      <c r="M66" s="852"/>
      <c r="N66" s="852"/>
      <c r="O66" s="853"/>
      <c r="P66" s="854"/>
      <c r="Q66" s="856"/>
      <c r="R66" s="855"/>
      <c r="S66" s="620"/>
      <c r="T66" s="621"/>
      <c r="AG66" s="604" t="str">
        <f t="shared" ca="1" si="5"/>
        <v>P20191001</v>
      </c>
    </row>
    <row r="67" spans="1:33" ht="17.25" customHeight="1">
      <c r="A67" s="484"/>
      <c r="B67" s="809"/>
      <c r="C67" s="850"/>
      <c r="D67" s="810"/>
      <c r="E67" s="851"/>
      <c r="F67" s="852"/>
      <c r="G67" s="852"/>
      <c r="H67" s="852"/>
      <c r="I67" s="853"/>
      <c r="J67" s="854"/>
      <c r="K67" s="855"/>
      <c r="L67" s="851"/>
      <c r="M67" s="852"/>
      <c r="N67" s="852"/>
      <c r="O67" s="853"/>
      <c r="P67" s="854"/>
      <c r="Q67" s="856"/>
      <c r="R67" s="855"/>
      <c r="S67" s="620"/>
      <c r="T67" s="621"/>
      <c r="AG67" s="604" t="str">
        <f t="shared" ca="1" si="5"/>
        <v>P20191001</v>
      </c>
    </row>
    <row r="68" spans="1:33" ht="17.25" customHeight="1">
      <c r="A68" s="484"/>
      <c r="B68" s="809"/>
      <c r="C68" s="850"/>
      <c r="D68" s="810"/>
      <c r="E68" s="851"/>
      <c r="F68" s="852"/>
      <c r="G68" s="852"/>
      <c r="H68" s="852"/>
      <c r="I68" s="853"/>
      <c r="J68" s="854"/>
      <c r="K68" s="855"/>
      <c r="L68" s="851"/>
      <c r="M68" s="852"/>
      <c r="N68" s="852"/>
      <c r="O68" s="853"/>
      <c r="P68" s="854"/>
      <c r="Q68" s="856"/>
      <c r="R68" s="855"/>
      <c r="S68" s="620"/>
      <c r="T68" s="621"/>
      <c r="AG68" s="604" t="str">
        <f t="shared" ca="1" si="5"/>
        <v>P20191001</v>
      </c>
    </row>
    <row r="69" spans="1:33" ht="17.25" customHeight="1">
      <c r="A69" s="484"/>
      <c r="B69" s="809"/>
      <c r="C69" s="850"/>
      <c r="D69" s="810"/>
      <c r="E69" s="851"/>
      <c r="F69" s="852"/>
      <c r="G69" s="852"/>
      <c r="H69" s="852"/>
      <c r="I69" s="853"/>
      <c r="J69" s="854"/>
      <c r="K69" s="855"/>
      <c r="L69" s="851"/>
      <c r="M69" s="852"/>
      <c r="N69" s="852"/>
      <c r="O69" s="853"/>
      <c r="P69" s="854"/>
      <c r="Q69" s="856"/>
      <c r="R69" s="855"/>
      <c r="S69" s="620"/>
      <c r="T69" s="621"/>
      <c r="AG69" s="604" t="str">
        <f t="shared" ca="1" si="5"/>
        <v>P20191001</v>
      </c>
    </row>
    <row r="70" spans="1:33" ht="17.25" customHeight="1">
      <c r="A70" s="484"/>
      <c r="B70" s="809"/>
      <c r="C70" s="850"/>
      <c r="D70" s="810"/>
      <c r="E70" s="851"/>
      <c r="F70" s="852"/>
      <c r="G70" s="852"/>
      <c r="H70" s="852"/>
      <c r="I70" s="853"/>
      <c r="J70" s="854"/>
      <c r="K70" s="855"/>
      <c r="L70" s="851"/>
      <c r="M70" s="852"/>
      <c r="N70" s="852"/>
      <c r="O70" s="853"/>
      <c r="P70" s="854"/>
      <c r="Q70" s="856"/>
      <c r="R70" s="855"/>
      <c r="S70" s="620"/>
      <c r="T70" s="621"/>
      <c r="AG70" s="604" t="str">
        <f t="shared" ca="1" si="5"/>
        <v>P20191001</v>
      </c>
    </row>
    <row r="71" spans="1:33" ht="17.25" customHeight="1">
      <c r="A71" s="484"/>
      <c r="B71" s="809"/>
      <c r="C71" s="850"/>
      <c r="D71" s="810"/>
      <c r="E71" s="851"/>
      <c r="F71" s="852"/>
      <c r="G71" s="852"/>
      <c r="H71" s="852"/>
      <c r="I71" s="853"/>
      <c r="J71" s="854"/>
      <c r="K71" s="855"/>
      <c r="L71" s="851"/>
      <c r="M71" s="852"/>
      <c r="N71" s="852"/>
      <c r="O71" s="853"/>
      <c r="P71" s="854"/>
      <c r="Q71" s="856"/>
      <c r="R71" s="855"/>
      <c r="S71" s="620"/>
      <c r="T71" s="621"/>
      <c r="AG71" s="604" t="str">
        <f t="shared" ca="1" si="5"/>
        <v>P20191001</v>
      </c>
    </row>
    <row r="72" spans="1:33" ht="17.25" customHeight="1">
      <c r="A72" s="484"/>
      <c r="B72" s="809"/>
      <c r="C72" s="850"/>
      <c r="D72" s="810"/>
      <c r="E72" s="851"/>
      <c r="F72" s="852"/>
      <c r="G72" s="852"/>
      <c r="H72" s="852"/>
      <c r="I72" s="853"/>
      <c r="J72" s="854"/>
      <c r="K72" s="855"/>
      <c r="L72" s="851"/>
      <c r="M72" s="852"/>
      <c r="N72" s="852"/>
      <c r="O72" s="853"/>
      <c r="P72" s="854"/>
      <c r="Q72" s="856"/>
      <c r="R72" s="855"/>
      <c r="S72" s="620"/>
      <c r="T72" s="621"/>
      <c r="AG72" s="604" t="str">
        <f t="shared" ca="1" si="5"/>
        <v>P20191001</v>
      </c>
    </row>
    <row r="73" spans="1:33" ht="17.25" customHeight="1">
      <c r="A73" s="484"/>
      <c r="B73" s="809"/>
      <c r="C73" s="850"/>
      <c r="D73" s="810"/>
      <c r="E73" s="851"/>
      <c r="F73" s="852"/>
      <c r="G73" s="852"/>
      <c r="H73" s="852"/>
      <c r="I73" s="853"/>
      <c r="J73" s="854"/>
      <c r="K73" s="855"/>
      <c r="L73" s="851"/>
      <c r="M73" s="852"/>
      <c r="N73" s="852"/>
      <c r="O73" s="853"/>
      <c r="P73" s="854"/>
      <c r="Q73" s="856"/>
      <c r="R73" s="855"/>
      <c r="S73" s="620"/>
      <c r="T73" s="621"/>
      <c r="AG73" s="604" t="str">
        <f t="shared" ca="1" si="5"/>
        <v>P20191001</v>
      </c>
    </row>
    <row r="74" spans="1:33" ht="17.25" customHeight="1">
      <c r="A74" s="484"/>
      <c r="B74" s="809"/>
      <c r="C74" s="850"/>
      <c r="D74" s="810"/>
      <c r="E74" s="851"/>
      <c r="F74" s="852"/>
      <c r="G74" s="852"/>
      <c r="H74" s="852"/>
      <c r="I74" s="853"/>
      <c r="J74" s="854"/>
      <c r="K74" s="855"/>
      <c r="L74" s="851"/>
      <c r="M74" s="852"/>
      <c r="N74" s="852"/>
      <c r="O74" s="853"/>
      <c r="P74" s="854"/>
      <c r="Q74" s="856"/>
      <c r="R74" s="855"/>
      <c r="S74" s="620"/>
      <c r="T74" s="621"/>
      <c r="AG74" s="604" t="str">
        <f t="shared" ca="1" si="5"/>
        <v>P20191001</v>
      </c>
    </row>
    <row r="75" spans="1:33" ht="17.25" customHeight="1">
      <c r="A75" s="484"/>
      <c r="B75" s="809"/>
      <c r="C75" s="850"/>
      <c r="D75" s="810"/>
      <c r="E75" s="851"/>
      <c r="F75" s="852"/>
      <c r="G75" s="852"/>
      <c r="H75" s="852"/>
      <c r="I75" s="853"/>
      <c r="J75" s="854"/>
      <c r="K75" s="855"/>
      <c r="L75" s="851"/>
      <c r="M75" s="852"/>
      <c r="N75" s="852"/>
      <c r="O75" s="853"/>
      <c r="P75" s="854"/>
      <c r="Q75" s="856"/>
      <c r="R75" s="855"/>
      <c r="S75" s="620"/>
      <c r="T75" s="621"/>
      <c r="AG75" s="604" t="str">
        <f t="shared" ca="1" si="5"/>
        <v>P20191001</v>
      </c>
    </row>
    <row r="76" spans="1:33" ht="17.25" customHeight="1">
      <c r="A76" s="484"/>
      <c r="B76" s="809"/>
      <c r="C76" s="850"/>
      <c r="D76" s="810"/>
      <c r="E76" s="851"/>
      <c r="F76" s="852"/>
      <c r="G76" s="852"/>
      <c r="H76" s="852"/>
      <c r="I76" s="853"/>
      <c r="J76" s="854"/>
      <c r="K76" s="855"/>
      <c r="L76" s="851"/>
      <c r="M76" s="852"/>
      <c r="N76" s="852"/>
      <c r="O76" s="853"/>
      <c r="P76" s="854"/>
      <c r="Q76" s="856"/>
      <c r="R76" s="855"/>
      <c r="S76" s="620"/>
      <c r="T76" s="621"/>
      <c r="AG76" s="604" t="str">
        <f t="shared" ca="1" si="5"/>
        <v>P20191001</v>
      </c>
    </row>
    <row r="77" spans="1:33" ht="17.25" customHeight="1">
      <c r="A77" s="484"/>
      <c r="B77" s="809"/>
      <c r="C77" s="850"/>
      <c r="D77" s="810"/>
      <c r="E77" s="851"/>
      <c r="F77" s="852"/>
      <c r="G77" s="852"/>
      <c r="H77" s="852"/>
      <c r="I77" s="853"/>
      <c r="J77" s="854"/>
      <c r="K77" s="855"/>
      <c r="L77" s="851"/>
      <c r="M77" s="852"/>
      <c r="N77" s="852"/>
      <c r="O77" s="853"/>
      <c r="P77" s="854"/>
      <c r="Q77" s="856"/>
      <c r="R77" s="855"/>
      <c r="S77" s="620"/>
      <c r="T77" s="621"/>
      <c r="AG77" s="604" t="str">
        <f t="shared" ca="1" si="5"/>
        <v>P20191001</v>
      </c>
    </row>
    <row r="78" spans="1:33" ht="17.25" customHeight="1">
      <c r="A78" s="484"/>
      <c r="B78" s="809"/>
      <c r="C78" s="850"/>
      <c r="D78" s="810"/>
      <c r="E78" s="851"/>
      <c r="F78" s="852"/>
      <c r="G78" s="852"/>
      <c r="H78" s="852"/>
      <c r="I78" s="853"/>
      <c r="J78" s="854"/>
      <c r="K78" s="855"/>
      <c r="L78" s="851"/>
      <c r="M78" s="852"/>
      <c r="N78" s="852"/>
      <c r="O78" s="853"/>
      <c r="P78" s="854"/>
      <c r="Q78" s="856"/>
      <c r="R78" s="855"/>
      <c r="S78" s="620"/>
      <c r="T78" s="621"/>
      <c r="AG78" s="604" t="str">
        <f t="shared" ca="1" si="5"/>
        <v>P20191001</v>
      </c>
    </row>
    <row r="79" spans="1:33" ht="17.25" customHeight="1">
      <c r="A79" s="484"/>
      <c r="B79" s="809"/>
      <c r="C79" s="850"/>
      <c r="D79" s="810"/>
      <c r="E79" s="851"/>
      <c r="F79" s="852"/>
      <c r="G79" s="852"/>
      <c r="H79" s="852"/>
      <c r="I79" s="853"/>
      <c r="J79" s="854"/>
      <c r="K79" s="855"/>
      <c r="L79" s="851"/>
      <c r="M79" s="852"/>
      <c r="N79" s="852"/>
      <c r="O79" s="853"/>
      <c r="P79" s="854"/>
      <c r="Q79" s="856"/>
      <c r="R79" s="855"/>
      <c r="S79" s="620"/>
      <c r="T79" s="621"/>
      <c r="AG79" s="604" t="str">
        <f t="shared" ca="1" si="5"/>
        <v>P20191001</v>
      </c>
    </row>
    <row r="80" spans="1:33" ht="17.25" customHeight="1">
      <c r="A80" s="484"/>
      <c r="B80" s="809"/>
      <c r="C80" s="850"/>
      <c r="D80" s="810"/>
      <c r="E80" s="851"/>
      <c r="F80" s="852"/>
      <c r="G80" s="852"/>
      <c r="H80" s="852"/>
      <c r="I80" s="853"/>
      <c r="J80" s="854"/>
      <c r="K80" s="855"/>
      <c r="L80" s="851"/>
      <c r="M80" s="852"/>
      <c r="N80" s="852"/>
      <c r="O80" s="853"/>
      <c r="P80" s="854"/>
      <c r="Q80" s="856"/>
      <c r="R80" s="855"/>
      <c r="S80" s="620"/>
      <c r="T80" s="621"/>
      <c r="AG80" s="604" t="str">
        <f t="shared" ca="1" si="5"/>
        <v>P20191001</v>
      </c>
    </row>
    <row r="81" spans="1:33" ht="17.25" customHeight="1">
      <c r="A81" s="484"/>
      <c r="B81" s="809"/>
      <c r="C81" s="850"/>
      <c r="D81" s="810"/>
      <c r="E81" s="851"/>
      <c r="F81" s="852"/>
      <c r="G81" s="852"/>
      <c r="H81" s="852"/>
      <c r="I81" s="853"/>
      <c r="J81" s="854"/>
      <c r="K81" s="855"/>
      <c r="L81" s="851"/>
      <c r="M81" s="852"/>
      <c r="N81" s="852"/>
      <c r="O81" s="853"/>
      <c r="P81" s="854"/>
      <c r="Q81" s="856"/>
      <c r="R81" s="855"/>
      <c r="S81" s="620"/>
      <c r="T81" s="621"/>
      <c r="AG81" s="604" t="str">
        <f t="shared" ca="1" si="5"/>
        <v>P20191001</v>
      </c>
    </row>
    <row r="82" spans="1:33" ht="17.25" customHeight="1">
      <c r="A82" s="484"/>
      <c r="B82" s="809"/>
      <c r="C82" s="850"/>
      <c r="D82" s="810"/>
      <c r="E82" s="851"/>
      <c r="F82" s="852"/>
      <c r="G82" s="852"/>
      <c r="H82" s="852"/>
      <c r="I82" s="853"/>
      <c r="J82" s="854"/>
      <c r="K82" s="855"/>
      <c r="L82" s="851"/>
      <c r="M82" s="852"/>
      <c r="N82" s="852"/>
      <c r="O82" s="853"/>
      <c r="P82" s="854"/>
      <c r="Q82" s="856"/>
      <c r="R82" s="855"/>
      <c r="S82" s="620"/>
      <c r="T82" s="621"/>
      <c r="AG82" s="604" t="str">
        <f t="shared" ca="1" si="5"/>
        <v>P20191001</v>
      </c>
    </row>
    <row r="83" spans="1:33" ht="17.25" customHeight="1">
      <c r="A83" s="484"/>
      <c r="B83" s="809"/>
      <c r="C83" s="850"/>
      <c r="D83" s="810"/>
      <c r="E83" s="851"/>
      <c r="F83" s="852"/>
      <c r="G83" s="852"/>
      <c r="H83" s="852"/>
      <c r="I83" s="853"/>
      <c r="J83" s="854"/>
      <c r="K83" s="855"/>
      <c r="L83" s="851"/>
      <c r="M83" s="852"/>
      <c r="N83" s="852"/>
      <c r="O83" s="853"/>
      <c r="P83" s="854"/>
      <c r="Q83" s="856"/>
      <c r="R83" s="855"/>
      <c r="S83" s="620"/>
      <c r="T83" s="621"/>
      <c r="AG83" s="604" t="str">
        <f t="shared" ca="1" si="5"/>
        <v>P20191001</v>
      </c>
    </row>
    <row r="84" spans="1:33" ht="17.25" customHeight="1">
      <c r="A84" s="484"/>
      <c r="B84" s="809"/>
      <c r="C84" s="850"/>
      <c r="D84" s="810"/>
      <c r="E84" s="851"/>
      <c r="F84" s="852"/>
      <c r="G84" s="852"/>
      <c r="H84" s="852"/>
      <c r="I84" s="853"/>
      <c r="J84" s="854"/>
      <c r="K84" s="855"/>
      <c r="L84" s="851"/>
      <c r="M84" s="852"/>
      <c r="N84" s="852"/>
      <c r="O84" s="853"/>
      <c r="P84" s="854"/>
      <c r="Q84" s="856"/>
      <c r="R84" s="855"/>
      <c r="S84" s="620"/>
      <c r="T84" s="621"/>
      <c r="AG84" s="604" t="str">
        <f t="shared" ca="1" si="5"/>
        <v>P20191001</v>
      </c>
    </row>
    <row r="85" spans="1:33" ht="17.25" customHeight="1">
      <c r="A85" s="484"/>
      <c r="B85" s="809"/>
      <c r="C85" s="850"/>
      <c r="D85" s="810"/>
      <c r="E85" s="851"/>
      <c r="F85" s="852"/>
      <c r="G85" s="852"/>
      <c r="H85" s="852"/>
      <c r="I85" s="853"/>
      <c r="J85" s="854"/>
      <c r="K85" s="855"/>
      <c r="L85" s="851"/>
      <c r="M85" s="852"/>
      <c r="N85" s="852"/>
      <c r="O85" s="853"/>
      <c r="P85" s="854"/>
      <c r="Q85" s="856"/>
      <c r="R85" s="855"/>
      <c r="S85" s="620"/>
      <c r="T85" s="621"/>
      <c r="AG85" s="604" t="str">
        <f t="shared" ca="1" si="5"/>
        <v>P20191001</v>
      </c>
    </row>
    <row r="86" spans="1:33" ht="17.25" customHeight="1">
      <c r="A86" s="484"/>
      <c r="B86" s="809"/>
      <c r="C86" s="850"/>
      <c r="D86" s="810"/>
      <c r="E86" s="851"/>
      <c r="F86" s="852"/>
      <c r="G86" s="852"/>
      <c r="H86" s="852"/>
      <c r="I86" s="853"/>
      <c r="J86" s="854"/>
      <c r="K86" s="855"/>
      <c r="L86" s="851"/>
      <c r="M86" s="852"/>
      <c r="N86" s="852"/>
      <c r="O86" s="853"/>
      <c r="P86" s="854"/>
      <c r="Q86" s="856"/>
      <c r="R86" s="855"/>
      <c r="S86" s="620"/>
      <c r="T86" s="621"/>
      <c r="AG86" s="604" t="str">
        <f t="shared" ca="1" si="5"/>
        <v>P20191001</v>
      </c>
    </row>
    <row r="87" spans="1:33" ht="17.25" customHeight="1">
      <c r="A87" s="484"/>
      <c r="B87" s="809"/>
      <c r="C87" s="850"/>
      <c r="D87" s="810"/>
      <c r="E87" s="851"/>
      <c r="F87" s="852"/>
      <c r="G87" s="852"/>
      <c r="H87" s="852"/>
      <c r="I87" s="853"/>
      <c r="J87" s="854"/>
      <c r="K87" s="855"/>
      <c r="L87" s="851"/>
      <c r="M87" s="852"/>
      <c r="N87" s="852"/>
      <c r="O87" s="853"/>
      <c r="P87" s="854"/>
      <c r="Q87" s="856"/>
      <c r="R87" s="855"/>
      <c r="S87" s="620"/>
      <c r="T87" s="621"/>
      <c r="AG87" s="604" t="str">
        <f t="shared" ca="1" si="5"/>
        <v>P20191001</v>
      </c>
    </row>
    <row r="88" spans="1:33" ht="17.25" customHeight="1">
      <c r="A88" s="484"/>
      <c r="B88" s="809"/>
      <c r="C88" s="850"/>
      <c r="D88" s="810"/>
      <c r="E88" s="851"/>
      <c r="F88" s="852"/>
      <c r="G88" s="852"/>
      <c r="H88" s="852"/>
      <c r="I88" s="853"/>
      <c r="J88" s="854"/>
      <c r="K88" s="855"/>
      <c r="L88" s="851"/>
      <c r="M88" s="852"/>
      <c r="N88" s="852"/>
      <c r="O88" s="853"/>
      <c r="P88" s="854"/>
      <c r="Q88" s="856"/>
      <c r="R88" s="855"/>
      <c r="S88" s="620"/>
      <c r="T88" s="621"/>
      <c r="AG88" s="604" t="str">
        <f t="shared" ca="1" si="5"/>
        <v>P20191001</v>
      </c>
    </row>
    <row r="89" spans="1:33" ht="17.25" customHeight="1">
      <c r="A89" s="484"/>
      <c r="B89" s="809"/>
      <c r="C89" s="850"/>
      <c r="D89" s="810"/>
      <c r="E89" s="851"/>
      <c r="F89" s="852"/>
      <c r="G89" s="852"/>
      <c r="H89" s="852"/>
      <c r="I89" s="853"/>
      <c r="J89" s="854"/>
      <c r="K89" s="855"/>
      <c r="L89" s="851"/>
      <c r="M89" s="852"/>
      <c r="N89" s="852"/>
      <c r="O89" s="853"/>
      <c r="P89" s="854"/>
      <c r="Q89" s="856"/>
      <c r="R89" s="855"/>
      <c r="S89" s="620"/>
      <c r="T89" s="621"/>
      <c r="AG89" s="604" t="str">
        <f t="shared" ca="1" si="5"/>
        <v>P20191001</v>
      </c>
    </row>
    <row r="90" spans="1:33" ht="17.25" customHeight="1">
      <c r="A90" s="484"/>
      <c r="B90" s="809"/>
      <c r="C90" s="850"/>
      <c r="D90" s="810"/>
      <c r="E90" s="851"/>
      <c r="F90" s="852"/>
      <c r="G90" s="852"/>
      <c r="H90" s="852"/>
      <c r="I90" s="853"/>
      <c r="J90" s="854"/>
      <c r="K90" s="855"/>
      <c r="L90" s="851"/>
      <c r="M90" s="852"/>
      <c r="N90" s="852"/>
      <c r="O90" s="853"/>
      <c r="P90" s="854"/>
      <c r="Q90" s="856"/>
      <c r="R90" s="855"/>
      <c r="S90" s="620"/>
      <c r="T90" s="621"/>
      <c r="AG90" s="604" t="str">
        <f t="shared" ca="1" si="5"/>
        <v>P20191001</v>
      </c>
    </row>
    <row r="91" spans="1:33" ht="17.25" customHeight="1">
      <c r="A91" s="484"/>
      <c r="B91" s="809"/>
      <c r="C91" s="850"/>
      <c r="D91" s="810"/>
      <c r="E91" s="851"/>
      <c r="F91" s="852"/>
      <c r="G91" s="852"/>
      <c r="H91" s="852"/>
      <c r="I91" s="853"/>
      <c r="J91" s="854"/>
      <c r="K91" s="855"/>
      <c r="L91" s="851"/>
      <c r="M91" s="852"/>
      <c r="N91" s="852"/>
      <c r="O91" s="853"/>
      <c r="P91" s="854"/>
      <c r="Q91" s="856"/>
      <c r="R91" s="855"/>
      <c r="S91" s="620"/>
      <c r="T91" s="621"/>
      <c r="AG91" s="604" t="str">
        <f t="shared" ca="1" si="5"/>
        <v>P20191001</v>
      </c>
    </row>
    <row r="92" spans="1:33" ht="17.25" customHeight="1" thickBot="1">
      <c r="A92" s="485"/>
      <c r="B92" s="799"/>
      <c r="C92" s="857"/>
      <c r="D92" s="800"/>
      <c r="E92" s="858"/>
      <c r="F92" s="859"/>
      <c r="G92" s="859"/>
      <c r="H92" s="859"/>
      <c r="I92" s="860"/>
      <c r="J92" s="861"/>
      <c r="K92" s="862"/>
      <c r="L92" s="858"/>
      <c r="M92" s="859"/>
      <c r="N92" s="859"/>
      <c r="O92" s="860"/>
      <c r="P92" s="861"/>
      <c r="Q92" s="863"/>
      <c r="R92" s="862"/>
      <c r="S92" s="620"/>
      <c r="T92" s="621"/>
      <c r="AG92" s="604" t="str">
        <f t="shared" ca="1" si="5"/>
        <v>P20191001</v>
      </c>
    </row>
    <row r="93" spans="1:33" ht="17.25" customHeight="1" thickBot="1">
      <c r="A93" s="235"/>
      <c r="B93" s="235"/>
      <c r="C93" s="235"/>
      <c r="D93" s="235"/>
      <c r="E93" s="235"/>
      <c r="F93" s="235"/>
      <c r="G93" s="235"/>
      <c r="H93" s="235"/>
      <c r="I93" s="235"/>
      <c r="J93" s="235"/>
      <c r="K93" s="235"/>
      <c r="L93" s="846" t="s">
        <v>197</v>
      </c>
      <c r="M93" s="791"/>
      <c r="N93" s="791"/>
      <c r="O93" s="791"/>
      <c r="P93" s="791"/>
      <c r="Q93" s="791"/>
      <c r="R93" s="847"/>
      <c r="S93" s="848">
        <f>SUM(T61:T92)</f>
        <v>0</v>
      </c>
      <c r="T93" s="849"/>
      <c r="U93" s="244">
        <f>IF(S93&gt;0,1,0)</f>
        <v>0</v>
      </c>
    </row>
    <row r="94" spans="1:33" ht="24" customHeight="1">
      <c r="A94" s="235" t="str">
        <f>IF((U141+U93+U30)=3,"2/3",IF((U93+U30)=2,"2/2",""))</f>
        <v/>
      </c>
      <c r="B94" s="235"/>
      <c r="C94" s="235"/>
      <c r="D94" s="235"/>
      <c r="E94" s="235"/>
      <c r="F94" s="235"/>
      <c r="G94" s="235"/>
      <c r="H94" s="235"/>
      <c r="I94" s="235"/>
      <c r="J94" s="235"/>
      <c r="K94" s="235"/>
      <c r="L94" s="235"/>
      <c r="M94" s="235"/>
      <c r="N94" s="235"/>
      <c r="O94" s="235"/>
      <c r="P94" s="235"/>
      <c r="Q94" s="235"/>
      <c r="R94" s="235"/>
      <c r="S94" s="783">
        <f>S46</f>
        <v>7.179999828338623</v>
      </c>
      <c r="T94" s="783">
        <f>S46</f>
        <v>7.179999828338623</v>
      </c>
    </row>
    <row r="95" spans="1:33" ht="33" customHeight="1">
      <c r="A95" s="232"/>
      <c r="F95" s="904" t="s">
        <v>507</v>
      </c>
      <c r="G95" s="905"/>
      <c r="H95" s="905"/>
      <c r="I95" s="905"/>
      <c r="J95" s="905"/>
      <c r="K95" s="905"/>
      <c r="L95" s="905"/>
      <c r="M95" s="905"/>
      <c r="N95" s="905"/>
      <c r="O95" s="905"/>
      <c r="P95" s="905"/>
      <c r="Q95" s="905"/>
      <c r="R95" s="905"/>
      <c r="S95" s="250"/>
      <c r="T95" s="250"/>
    </row>
    <row r="96" spans="1:33" ht="21" customHeight="1" thickBot="1">
      <c r="A96" s="235"/>
      <c r="B96" s="906">
        <f>B2</f>
        <v>43374</v>
      </c>
      <c r="C96" s="906"/>
      <c r="D96" s="906"/>
      <c r="E96" s="906"/>
      <c r="F96" s="180"/>
      <c r="G96" s="235"/>
      <c r="H96" s="235"/>
      <c r="I96" s="235"/>
      <c r="J96" s="235"/>
      <c r="K96" s="235"/>
      <c r="L96" s="235"/>
      <c r="M96" s="510"/>
      <c r="N96" s="510"/>
      <c r="O96" s="510"/>
      <c r="P96" s="511"/>
      <c r="Q96" s="511"/>
      <c r="R96" s="512"/>
      <c r="S96" s="512"/>
      <c r="T96" s="512"/>
    </row>
    <row r="97" spans="1:33" ht="17.25" customHeight="1">
      <c r="A97" s="234"/>
      <c r="B97" s="237"/>
      <c r="C97" s="237"/>
      <c r="D97" s="237"/>
      <c r="E97" s="235"/>
      <c r="F97" s="237"/>
      <c r="G97" s="237"/>
      <c r="H97" s="238"/>
      <c r="I97" s="238"/>
      <c r="J97" s="238"/>
      <c r="K97" s="238"/>
      <c r="L97" s="238"/>
      <c r="M97" s="745" t="s">
        <v>236</v>
      </c>
      <c r="N97" s="746"/>
      <c r="O97" s="746"/>
      <c r="P97" s="907" t="str">
        <f>IF(P3="","",P3)</f>
        <v/>
      </c>
      <c r="Q97" s="908"/>
      <c r="R97" s="908"/>
      <c r="S97" s="908"/>
      <c r="T97" s="909"/>
    </row>
    <row r="98" spans="1:33" ht="17.25" customHeight="1">
      <c r="A98" s="234"/>
      <c r="B98" s="237"/>
      <c r="C98" s="237"/>
      <c r="D98" s="237"/>
      <c r="E98" s="235"/>
      <c r="F98" s="496"/>
      <c r="G98" s="496"/>
      <c r="H98" s="496"/>
      <c r="I98" s="496"/>
      <c r="J98" s="496"/>
      <c r="K98" s="496"/>
      <c r="L98" s="496"/>
      <c r="M98" s="749" t="s">
        <v>237</v>
      </c>
      <c r="N98" s="750"/>
      <c r="O98" s="750"/>
      <c r="P98" s="901" t="str">
        <f>IF(P4="","",P4)</f>
        <v/>
      </c>
      <c r="Q98" s="902"/>
      <c r="R98" s="902"/>
      <c r="S98" s="902"/>
      <c r="T98" s="903"/>
    </row>
    <row r="99" spans="1:33" ht="17.25" customHeight="1">
      <c r="A99" s="496"/>
      <c r="B99" s="496"/>
      <c r="C99" s="496"/>
      <c r="D99" s="496"/>
      <c r="E99" s="496"/>
      <c r="F99" s="496"/>
      <c r="G99" s="496"/>
      <c r="H99" s="496"/>
      <c r="I99" s="496"/>
      <c r="J99" s="496"/>
      <c r="K99" s="496"/>
      <c r="L99" s="496"/>
      <c r="M99" s="749" t="s">
        <v>238</v>
      </c>
      <c r="N99" s="750"/>
      <c r="O99" s="750"/>
      <c r="P99" s="901" t="str">
        <f>IF(P5="","",P5)</f>
        <v/>
      </c>
      <c r="Q99" s="902"/>
      <c r="R99" s="902"/>
      <c r="S99" s="902"/>
      <c r="T99" s="903"/>
    </row>
    <row r="100" spans="1:33" ht="17.25" customHeight="1">
      <c r="A100" s="496"/>
      <c r="B100" s="496"/>
      <c r="C100" s="496"/>
      <c r="D100" s="496"/>
      <c r="E100" s="496"/>
      <c r="F100" s="496"/>
      <c r="G100" s="496"/>
      <c r="H100" s="496"/>
      <c r="I100" s="496"/>
      <c r="J100" s="496"/>
      <c r="K100" s="496"/>
      <c r="L100" s="496"/>
      <c r="M100" s="749" t="s">
        <v>228</v>
      </c>
      <c r="N100" s="750"/>
      <c r="O100" s="750"/>
      <c r="P100" s="901" t="str">
        <f>IF(P6="","",P6)</f>
        <v/>
      </c>
      <c r="Q100" s="902"/>
      <c r="R100" s="902"/>
      <c r="S100" s="902"/>
      <c r="T100" s="516" t="s">
        <v>247</v>
      </c>
    </row>
    <row r="101" spans="1:33" ht="17.25" customHeight="1" thickBot="1">
      <c r="A101" s="235"/>
      <c r="B101" s="235"/>
      <c r="C101" s="235"/>
      <c r="D101" s="235"/>
      <c r="E101" s="235"/>
      <c r="F101" s="235"/>
      <c r="G101" s="235"/>
      <c r="H101" s="235"/>
      <c r="I101" s="235"/>
      <c r="J101" s="235"/>
      <c r="K101" s="235"/>
      <c r="L101" s="235"/>
      <c r="M101" s="751" t="s">
        <v>229</v>
      </c>
      <c r="N101" s="752"/>
      <c r="O101" s="752"/>
      <c r="P101" s="890" t="str">
        <f>IF(P7="","",P7)</f>
        <v/>
      </c>
      <c r="Q101" s="891"/>
      <c r="R101" s="891"/>
      <c r="S101" s="891"/>
      <c r="T101" s="892"/>
    </row>
    <row r="102" spans="1:33" ht="7.5" customHeight="1" thickBot="1">
      <c r="A102" s="235"/>
      <c r="B102" s="235"/>
      <c r="C102" s="235"/>
      <c r="D102" s="235"/>
      <c r="E102" s="235"/>
      <c r="F102" s="235"/>
      <c r="G102" s="235"/>
      <c r="H102" s="235"/>
      <c r="I102" s="235"/>
      <c r="J102" s="235"/>
      <c r="K102" s="235"/>
      <c r="L102" s="235"/>
      <c r="M102" s="235"/>
      <c r="N102" s="235"/>
      <c r="O102" s="235"/>
      <c r="P102" s="235"/>
      <c r="Q102" s="235"/>
      <c r="R102" s="235"/>
      <c r="S102" s="251"/>
      <c r="T102" s="251"/>
    </row>
    <row r="103" spans="1:33" ht="21" customHeight="1">
      <c r="A103" s="893" t="s">
        <v>191</v>
      </c>
      <c r="B103" s="894"/>
      <c r="C103" s="895"/>
      <c r="D103" s="896" t="str">
        <f>IF(D9="","",D9)</f>
        <v/>
      </c>
      <c r="E103" s="897"/>
      <c r="F103" s="897"/>
      <c r="G103" s="897"/>
      <c r="H103" s="897"/>
      <c r="I103" s="897"/>
      <c r="J103" s="897"/>
      <c r="K103" s="513" t="s">
        <v>192</v>
      </c>
      <c r="L103" s="898" t="str">
        <f>IF(L9="","",L9)</f>
        <v/>
      </c>
      <c r="M103" s="897"/>
      <c r="N103" s="897"/>
      <c r="O103" s="897"/>
      <c r="P103" s="897"/>
      <c r="Q103" s="897"/>
      <c r="R103" s="897"/>
      <c r="S103" s="899" t="str">
        <f>S9</f>
        <v>泊  日</v>
      </c>
      <c r="T103" s="900"/>
    </row>
    <row r="104" spans="1:33" ht="21" customHeight="1">
      <c r="A104" s="873" t="s">
        <v>193</v>
      </c>
      <c r="B104" s="874"/>
      <c r="C104" s="875"/>
      <c r="D104" s="876" t="str">
        <f>IF(D10="","",D10)</f>
        <v/>
      </c>
      <c r="E104" s="877"/>
      <c r="F104" s="877"/>
      <c r="G104" s="877"/>
      <c r="H104" s="877"/>
      <c r="I104" s="877"/>
      <c r="J104" s="877"/>
      <c r="K104" s="877"/>
      <c r="L104" s="877"/>
      <c r="M104" s="877"/>
      <c r="N104" s="877"/>
      <c r="O104" s="877"/>
      <c r="P104" s="877"/>
      <c r="Q104" s="877"/>
      <c r="R104" s="877"/>
      <c r="S104" s="877"/>
      <c r="T104" s="878"/>
    </row>
    <row r="105" spans="1:33" ht="21" customHeight="1" thickBot="1">
      <c r="A105" s="879" t="s">
        <v>194</v>
      </c>
      <c r="B105" s="880"/>
      <c r="C105" s="881"/>
      <c r="D105" s="882" t="str">
        <f>IF(D11="","",D11)</f>
        <v/>
      </c>
      <c r="E105" s="883"/>
      <c r="F105" s="883"/>
      <c r="G105" s="883"/>
      <c r="H105" s="883"/>
      <c r="I105" s="883"/>
      <c r="J105" s="883"/>
      <c r="K105" s="883"/>
      <c r="L105" s="883"/>
      <c r="M105" s="883"/>
      <c r="N105" s="883"/>
      <c r="O105" s="883"/>
      <c r="P105" s="883"/>
      <c r="Q105" s="883"/>
      <c r="R105" s="883"/>
      <c r="S105" s="883"/>
      <c r="T105" s="884"/>
    </row>
    <row r="106" spans="1:33" ht="5.0999999999999996" customHeight="1">
      <c r="A106" s="496"/>
      <c r="B106" s="496"/>
      <c r="C106" s="496"/>
      <c r="D106" s="496"/>
      <c r="E106" s="496"/>
      <c r="F106" s="496"/>
      <c r="G106" s="496"/>
      <c r="H106" s="496"/>
      <c r="I106" s="496"/>
      <c r="J106" s="496"/>
      <c r="K106" s="496"/>
      <c r="L106" s="496"/>
      <c r="M106" s="496"/>
      <c r="N106" s="496"/>
      <c r="O106" s="496"/>
      <c r="P106" s="496"/>
      <c r="Q106" s="496"/>
      <c r="R106" s="496"/>
      <c r="S106" s="496"/>
      <c r="T106" s="496"/>
    </row>
    <row r="107" spans="1:33" ht="17.25" customHeight="1" thickBot="1">
      <c r="A107" s="885" t="s">
        <v>244</v>
      </c>
      <c r="B107" s="886"/>
      <c r="C107" s="886"/>
      <c r="D107" s="496"/>
      <c r="E107" s="496"/>
      <c r="F107" s="496"/>
      <c r="G107" s="496"/>
      <c r="H107" s="496"/>
      <c r="I107" s="496"/>
      <c r="J107" s="496"/>
      <c r="K107" s="496"/>
      <c r="L107" s="496"/>
      <c r="M107" s="496"/>
      <c r="N107" s="496"/>
      <c r="O107" s="496"/>
      <c r="P107" s="496"/>
      <c r="Q107" s="496"/>
      <c r="R107" s="496"/>
      <c r="S107" s="496"/>
      <c r="T107" s="496"/>
    </row>
    <row r="108" spans="1:33" ht="17.25" customHeight="1" thickBot="1">
      <c r="A108" s="514" t="s">
        <v>189</v>
      </c>
      <c r="B108" s="887" t="s">
        <v>506</v>
      </c>
      <c r="C108" s="888"/>
      <c r="D108" s="889"/>
      <c r="E108" s="887" t="s">
        <v>195</v>
      </c>
      <c r="F108" s="888"/>
      <c r="G108" s="888"/>
      <c r="H108" s="888"/>
      <c r="I108" s="888"/>
      <c r="J108" s="888"/>
      <c r="K108" s="889"/>
      <c r="L108" s="887" t="s">
        <v>196</v>
      </c>
      <c r="M108" s="888"/>
      <c r="N108" s="888"/>
      <c r="O108" s="888"/>
      <c r="P108" s="888"/>
      <c r="Q108" s="888"/>
      <c r="R108" s="889"/>
      <c r="S108" s="611" t="s">
        <v>480</v>
      </c>
      <c r="T108" s="616" t="s">
        <v>632</v>
      </c>
    </row>
    <row r="109" spans="1:33" ht="17.25" customHeight="1">
      <c r="A109" s="515"/>
      <c r="B109" s="864"/>
      <c r="C109" s="865"/>
      <c r="D109" s="866"/>
      <c r="E109" s="867" t="s">
        <v>508</v>
      </c>
      <c r="F109" s="868"/>
      <c r="G109" s="868"/>
      <c r="H109" s="868"/>
      <c r="I109" s="869"/>
      <c r="J109" s="870"/>
      <c r="K109" s="871"/>
      <c r="L109" s="867" t="s">
        <v>508</v>
      </c>
      <c r="M109" s="868"/>
      <c r="N109" s="868"/>
      <c r="O109" s="869"/>
      <c r="P109" s="870"/>
      <c r="Q109" s="872"/>
      <c r="R109" s="871"/>
      <c r="S109" s="624"/>
      <c r="T109" s="625"/>
      <c r="AG109" s="604" t="str">
        <f t="shared" ref="AG109:AG140" ca="1" si="6">IF(A109="",PuLLD,IF(A109&lt;$AG$2,$AF$3,$AG$3))</f>
        <v>P20191001</v>
      </c>
    </row>
    <row r="110" spans="1:33" ht="17.25" customHeight="1">
      <c r="A110" s="484"/>
      <c r="B110" s="809"/>
      <c r="C110" s="850"/>
      <c r="D110" s="810"/>
      <c r="E110" s="851"/>
      <c r="F110" s="852"/>
      <c r="G110" s="852"/>
      <c r="H110" s="852"/>
      <c r="I110" s="853"/>
      <c r="J110" s="854"/>
      <c r="K110" s="855"/>
      <c r="L110" s="851"/>
      <c r="M110" s="852"/>
      <c r="N110" s="852"/>
      <c r="O110" s="853"/>
      <c r="P110" s="854"/>
      <c r="Q110" s="856"/>
      <c r="R110" s="855"/>
      <c r="S110" s="620"/>
      <c r="T110" s="621"/>
      <c r="AG110" s="604" t="str">
        <f t="shared" ca="1" si="6"/>
        <v>P20191001</v>
      </c>
    </row>
    <row r="111" spans="1:33" ht="17.25" customHeight="1">
      <c r="A111" s="484"/>
      <c r="B111" s="809"/>
      <c r="C111" s="850"/>
      <c r="D111" s="810"/>
      <c r="E111" s="851"/>
      <c r="F111" s="852"/>
      <c r="G111" s="852"/>
      <c r="H111" s="852"/>
      <c r="I111" s="853"/>
      <c r="J111" s="854"/>
      <c r="K111" s="855"/>
      <c r="L111" s="851"/>
      <c r="M111" s="852"/>
      <c r="N111" s="852"/>
      <c r="O111" s="853"/>
      <c r="P111" s="854"/>
      <c r="Q111" s="856"/>
      <c r="R111" s="855"/>
      <c r="S111" s="620"/>
      <c r="T111" s="621"/>
      <c r="AG111" s="604" t="str">
        <f t="shared" ca="1" si="6"/>
        <v>P20191001</v>
      </c>
    </row>
    <row r="112" spans="1:33" ht="17.25" customHeight="1">
      <c r="A112" s="484"/>
      <c r="B112" s="809"/>
      <c r="C112" s="850"/>
      <c r="D112" s="810"/>
      <c r="E112" s="851"/>
      <c r="F112" s="852"/>
      <c r="G112" s="852"/>
      <c r="H112" s="852"/>
      <c r="I112" s="853"/>
      <c r="J112" s="854"/>
      <c r="K112" s="855"/>
      <c r="L112" s="851"/>
      <c r="M112" s="852"/>
      <c r="N112" s="852"/>
      <c r="O112" s="853"/>
      <c r="P112" s="854"/>
      <c r="Q112" s="856"/>
      <c r="R112" s="855"/>
      <c r="S112" s="620"/>
      <c r="T112" s="621"/>
      <c r="AG112" s="604" t="str">
        <f t="shared" ca="1" si="6"/>
        <v>P20191001</v>
      </c>
    </row>
    <row r="113" spans="1:33" ht="17.25" customHeight="1">
      <c r="A113" s="484"/>
      <c r="B113" s="809"/>
      <c r="C113" s="850"/>
      <c r="D113" s="810"/>
      <c r="E113" s="851"/>
      <c r="F113" s="852"/>
      <c r="G113" s="852"/>
      <c r="H113" s="852"/>
      <c r="I113" s="853"/>
      <c r="J113" s="854"/>
      <c r="K113" s="855"/>
      <c r="L113" s="851"/>
      <c r="M113" s="852"/>
      <c r="N113" s="852"/>
      <c r="O113" s="853"/>
      <c r="P113" s="854"/>
      <c r="Q113" s="856"/>
      <c r="R113" s="855"/>
      <c r="S113" s="620"/>
      <c r="T113" s="621"/>
      <c r="AG113" s="604" t="str">
        <f t="shared" ca="1" si="6"/>
        <v>P20191001</v>
      </c>
    </row>
    <row r="114" spans="1:33" ht="17.25" customHeight="1">
      <c r="A114" s="484"/>
      <c r="B114" s="809"/>
      <c r="C114" s="850"/>
      <c r="D114" s="810"/>
      <c r="E114" s="851"/>
      <c r="F114" s="852"/>
      <c r="G114" s="852"/>
      <c r="H114" s="852"/>
      <c r="I114" s="853"/>
      <c r="J114" s="854"/>
      <c r="K114" s="855"/>
      <c r="L114" s="851"/>
      <c r="M114" s="852"/>
      <c r="N114" s="852"/>
      <c r="O114" s="853"/>
      <c r="P114" s="854"/>
      <c r="Q114" s="856"/>
      <c r="R114" s="855"/>
      <c r="S114" s="620"/>
      <c r="T114" s="621"/>
      <c r="AG114" s="604" t="str">
        <f t="shared" ca="1" si="6"/>
        <v>P20191001</v>
      </c>
    </row>
    <row r="115" spans="1:33" ht="17.25" customHeight="1">
      <c r="A115" s="484"/>
      <c r="B115" s="809"/>
      <c r="C115" s="850"/>
      <c r="D115" s="810"/>
      <c r="E115" s="851"/>
      <c r="F115" s="852"/>
      <c r="G115" s="852"/>
      <c r="H115" s="852"/>
      <c r="I115" s="853"/>
      <c r="J115" s="854"/>
      <c r="K115" s="855"/>
      <c r="L115" s="851"/>
      <c r="M115" s="852"/>
      <c r="N115" s="852"/>
      <c r="O115" s="853"/>
      <c r="P115" s="854"/>
      <c r="Q115" s="856"/>
      <c r="R115" s="855"/>
      <c r="S115" s="620"/>
      <c r="T115" s="621"/>
      <c r="AG115" s="604" t="str">
        <f t="shared" ca="1" si="6"/>
        <v>P20191001</v>
      </c>
    </row>
    <row r="116" spans="1:33" ht="17.25" customHeight="1">
      <c r="A116" s="484"/>
      <c r="B116" s="809"/>
      <c r="C116" s="850"/>
      <c r="D116" s="810"/>
      <c r="E116" s="851"/>
      <c r="F116" s="852"/>
      <c r="G116" s="852"/>
      <c r="H116" s="852"/>
      <c r="I116" s="853"/>
      <c r="J116" s="854"/>
      <c r="K116" s="855"/>
      <c r="L116" s="851"/>
      <c r="M116" s="852"/>
      <c r="N116" s="852"/>
      <c r="O116" s="853"/>
      <c r="P116" s="854"/>
      <c r="Q116" s="856"/>
      <c r="R116" s="855"/>
      <c r="S116" s="620"/>
      <c r="T116" s="621"/>
      <c r="AG116" s="604" t="str">
        <f t="shared" ca="1" si="6"/>
        <v>P20191001</v>
      </c>
    </row>
    <row r="117" spans="1:33" ht="17.25" customHeight="1">
      <c r="A117" s="484"/>
      <c r="B117" s="809"/>
      <c r="C117" s="850"/>
      <c r="D117" s="810"/>
      <c r="E117" s="851"/>
      <c r="F117" s="852"/>
      <c r="G117" s="852"/>
      <c r="H117" s="852"/>
      <c r="I117" s="853"/>
      <c r="J117" s="854"/>
      <c r="K117" s="855"/>
      <c r="L117" s="851"/>
      <c r="M117" s="852"/>
      <c r="N117" s="852"/>
      <c r="O117" s="853"/>
      <c r="P117" s="854"/>
      <c r="Q117" s="856"/>
      <c r="R117" s="855"/>
      <c r="S117" s="620"/>
      <c r="T117" s="621"/>
      <c r="AG117" s="604" t="str">
        <f t="shared" ca="1" si="6"/>
        <v>P20191001</v>
      </c>
    </row>
    <row r="118" spans="1:33" ht="17.25" customHeight="1">
      <c r="A118" s="484"/>
      <c r="B118" s="809"/>
      <c r="C118" s="850"/>
      <c r="D118" s="810"/>
      <c r="E118" s="851"/>
      <c r="F118" s="852"/>
      <c r="G118" s="852"/>
      <c r="H118" s="852"/>
      <c r="I118" s="853"/>
      <c r="J118" s="854"/>
      <c r="K118" s="855"/>
      <c r="L118" s="851"/>
      <c r="M118" s="852"/>
      <c r="N118" s="852"/>
      <c r="O118" s="853"/>
      <c r="P118" s="854"/>
      <c r="Q118" s="856"/>
      <c r="R118" s="855"/>
      <c r="S118" s="620"/>
      <c r="T118" s="621"/>
      <c r="AG118" s="604" t="str">
        <f t="shared" ca="1" si="6"/>
        <v>P20191001</v>
      </c>
    </row>
    <row r="119" spans="1:33" ht="17.25" customHeight="1">
      <c r="A119" s="484"/>
      <c r="B119" s="809"/>
      <c r="C119" s="850"/>
      <c r="D119" s="810"/>
      <c r="E119" s="851"/>
      <c r="F119" s="852"/>
      <c r="G119" s="852"/>
      <c r="H119" s="852"/>
      <c r="I119" s="853"/>
      <c r="J119" s="854"/>
      <c r="K119" s="855"/>
      <c r="L119" s="851"/>
      <c r="M119" s="852"/>
      <c r="N119" s="852"/>
      <c r="O119" s="853"/>
      <c r="P119" s="854"/>
      <c r="Q119" s="856"/>
      <c r="R119" s="855"/>
      <c r="S119" s="620"/>
      <c r="T119" s="621"/>
      <c r="AG119" s="604" t="str">
        <f t="shared" ca="1" si="6"/>
        <v>P20191001</v>
      </c>
    </row>
    <row r="120" spans="1:33" ht="17.25" customHeight="1">
      <c r="A120" s="484"/>
      <c r="B120" s="809"/>
      <c r="C120" s="850"/>
      <c r="D120" s="810"/>
      <c r="E120" s="851"/>
      <c r="F120" s="852"/>
      <c r="G120" s="852"/>
      <c r="H120" s="852"/>
      <c r="I120" s="853"/>
      <c r="J120" s="854"/>
      <c r="K120" s="855"/>
      <c r="L120" s="851"/>
      <c r="M120" s="852"/>
      <c r="N120" s="852"/>
      <c r="O120" s="853"/>
      <c r="P120" s="854"/>
      <c r="Q120" s="856"/>
      <c r="R120" s="855"/>
      <c r="S120" s="620"/>
      <c r="T120" s="621"/>
      <c r="AG120" s="604" t="str">
        <f t="shared" ca="1" si="6"/>
        <v>P20191001</v>
      </c>
    </row>
    <row r="121" spans="1:33" ht="17.25" customHeight="1">
      <c r="A121" s="484"/>
      <c r="B121" s="809"/>
      <c r="C121" s="850"/>
      <c r="D121" s="810"/>
      <c r="E121" s="851"/>
      <c r="F121" s="852"/>
      <c r="G121" s="852"/>
      <c r="H121" s="852"/>
      <c r="I121" s="853"/>
      <c r="J121" s="854"/>
      <c r="K121" s="855"/>
      <c r="L121" s="851"/>
      <c r="M121" s="852"/>
      <c r="N121" s="852"/>
      <c r="O121" s="853"/>
      <c r="P121" s="854"/>
      <c r="Q121" s="856"/>
      <c r="R121" s="855"/>
      <c r="S121" s="620"/>
      <c r="T121" s="621"/>
      <c r="AG121" s="604" t="str">
        <f t="shared" ca="1" si="6"/>
        <v>P20191001</v>
      </c>
    </row>
    <row r="122" spans="1:33" ht="17.25" customHeight="1">
      <c r="A122" s="484"/>
      <c r="B122" s="809"/>
      <c r="C122" s="850"/>
      <c r="D122" s="810"/>
      <c r="E122" s="851"/>
      <c r="F122" s="852"/>
      <c r="G122" s="852"/>
      <c r="H122" s="852"/>
      <c r="I122" s="853"/>
      <c r="J122" s="854"/>
      <c r="K122" s="855"/>
      <c r="L122" s="851"/>
      <c r="M122" s="852"/>
      <c r="N122" s="852"/>
      <c r="O122" s="853"/>
      <c r="P122" s="854"/>
      <c r="Q122" s="856"/>
      <c r="R122" s="855"/>
      <c r="S122" s="620"/>
      <c r="T122" s="621"/>
      <c r="AG122" s="604" t="str">
        <f t="shared" ca="1" si="6"/>
        <v>P20191001</v>
      </c>
    </row>
    <row r="123" spans="1:33" ht="17.25" customHeight="1">
      <c r="A123" s="484"/>
      <c r="B123" s="809"/>
      <c r="C123" s="850"/>
      <c r="D123" s="810"/>
      <c r="E123" s="851"/>
      <c r="F123" s="852"/>
      <c r="G123" s="852"/>
      <c r="H123" s="852"/>
      <c r="I123" s="853"/>
      <c r="J123" s="854"/>
      <c r="K123" s="855"/>
      <c r="L123" s="851"/>
      <c r="M123" s="852"/>
      <c r="N123" s="852"/>
      <c r="O123" s="853"/>
      <c r="P123" s="854"/>
      <c r="Q123" s="856"/>
      <c r="R123" s="855"/>
      <c r="S123" s="620"/>
      <c r="T123" s="621"/>
      <c r="AG123" s="604" t="str">
        <f t="shared" ca="1" si="6"/>
        <v>P20191001</v>
      </c>
    </row>
    <row r="124" spans="1:33" ht="17.25" customHeight="1">
      <c r="A124" s="484"/>
      <c r="B124" s="809"/>
      <c r="C124" s="850"/>
      <c r="D124" s="810"/>
      <c r="E124" s="851"/>
      <c r="F124" s="852"/>
      <c r="G124" s="852"/>
      <c r="H124" s="852"/>
      <c r="I124" s="853"/>
      <c r="J124" s="854"/>
      <c r="K124" s="855"/>
      <c r="L124" s="851"/>
      <c r="M124" s="852"/>
      <c r="N124" s="852"/>
      <c r="O124" s="853"/>
      <c r="P124" s="854"/>
      <c r="Q124" s="856"/>
      <c r="R124" s="855"/>
      <c r="S124" s="620"/>
      <c r="T124" s="621"/>
      <c r="AG124" s="604" t="str">
        <f t="shared" ca="1" si="6"/>
        <v>P20191001</v>
      </c>
    </row>
    <row r="125" spans="1:33" ht="17.25" customHeight="1">
      <c r="A125" s="484"/>
      <c r="B125" s="809"/>
      <c r="C125" s="850"/>
      <c r="D125" s="810"/>
      <c r="E125" s="851"/>
      <c r="F125" s="852"/>
      <c r="G125" s="852"/>
      <c r="H125" s="852"/>
      <c r="I125" s="853"/>
      <c r="J125" s="854"/>
      <c r="K125" s="855"/>
      <c r="L125" s="851"/>
      <c r="M125" s="852"/>
      <c r="N125" s="852"/>
      <c r="O125" s="853"/>
      <c r="P125" s="854"/>
      <c r="Q125" s="856"/>
      <c r="R125" s="855"/>
      <c r="S125" s="620"/>
      <c r="T125" s="621"/>
      <c r="AG125" s="604" t="str">
        <f t="shared" ca="1" si="6"/>
        <v>P20191001</v>
      </c>
    </row>
    <row r="126" spans="1:33" ht="17.25" customHeight="1">
      <c r="A126" s="484"/>
      <c r="B126" s="809"/>
      <c r="C126" s="850"/>
      <c r="D126" s="810"/>
      <c r="E126" s="851"/>
      <c r="F126" s="852"/>
      <c r="G126" s="852"/>
      <c r="H126" s="852"/>
      <c r="I126" s="853"/>
      <c r="J126" s="854"/>
      <c r="K126" s="855"/>
      <c r="L126" s="851"/>
      <c r="M126" s="852"/>
      <c r="N126" s="852"/>
      <c r="O126" s="853"/>
      <c r="P126" s="854"/>
      <c r="Q126" s="856"/>
      <c r="R126" s="855"/>
      <c r="S126" s="620"/>
      <c r="T126" s="621"/>
      <c r="AG126" s="604" t="str">
        <f t="shared" ca="1" si="6"/>
        <v>P20191001</v>
      </c>
    </row>
    <row r="127" spans="1:33" ht="17.25" customHeight="1">
      <c r="A127" s="484"/>
      <c r="B127" s="809"/>
      <c r="C127" s="850"/>
      <c r="D127" s="810"/>
      <c r="E127" s="851"/>
      <c r="F127" s="852"/>
      <c r="G127" s="852"/>
      <c r="H127" s="852"/>
      <c r="I127" s="853"/>
      <c r="J127" s="854"/>
      <c r="K127" s="855"/>
      <c r="L127" s="851"/>
      <c r="M127" s="852"/>
      <c r="N127" s="852"/>
      <c r="O127" s="853"/>
      <c r="P127" s="854"/>
      <c r="Q127" s="856"/>
      <c r="R127" s="855"/>
      <c r="S127" s="620"/>
      <c r="T127" s="621"/>
      <c r="AG127" s="604" t="str">
        <f t="shared" ca="1" si="6"/>
        <v>P20191001</v>
      </c>
    </row>
    <row r="128" spans="1:33" ht="17.25" customHeight="1">
      <c r="A128" s="484"/>
      <c r="B128" s="809"/>
      <c r="C128" s="850"/>
      <c r="D128" s="810"/>
      <c r="E128" s="851"/>
      <c r="F128" s="852"/>
      <c r="G128" s="852"/>
      <c r="H128" s="852"/>
      <c r="I128" s="853"/>
      <c r="J128" s="854"/>
      <c r="K128" s="855"/>
      <c r="L128" s="851"/>
      <c r="M128" s="852"/>
      <c r="N128" s="852"/>
      <c r="O128" s="853"/>
      <c r="P128" s="854"/>
      <c r="Q128" s="856"/>
      <c r="R128" s="855"/>
      <c r="S128" s="620"/>
      <c r="T128" s="621"/>
      <c r="AG128" s="604" t="str">
        <f t="shared" ca="1" si="6"/>
        <v>P20191001</v>
      </c>
    </row>
    <row r="129" spans="1:33" ht="17.25" customHeight="1">
      <c r="A129" s="484"/>
      <c r="B129" s="809"/>
      <c r="C129" s="850"/>
      <c r="D129" s="810"/>
      <c r="E129" s="851"/>
      <c r="F129" s="852"/>
      <c r="G129" s="852"/>
      <c r="H129" s="852"/>
      <c r="I129" s="853"/>
      <c r="J129" s="854"/>
      <c r="K129" s="855"/>
      <c r="L129" s="851"/>
      <c r="M129" s="852"/>
      <c r="N129" s="852"/>
      <c r="O129" s="853"/>
      <c r="P129" s="854"/>
      <c r="Q129" s="856"/>
      <c r="R129" s="855"/>
      <c r="S129" s="620"/>
      <c r="T129" s="621"/>
      <c r="AG129" s="604" t="str">
        <f t="shared" ca="1" si="6"/>
        <v>P20191001</v>
      </c>
    </row>
    <row r="130" spans="1:33" ht="17.25" customHeight="1">
      <c r="A130" s="484"/>
      <c r="B130" s="809"/>
      <c r="C130" s="850"/>
      <c r="D130" s="810"/>
      <c r="E130" s="851"/>
      <c r="F130" s="852"/>
      <c r="G130" s="852"/>
      <c r="H130" s="852"/>
      <c r="I130" s="853"/>
      <c r="J130" s="854"/>
      <c r="K130" s="855"/>
      <c r="L130" s="851"/>
      <c r="M130" s="852"/>
      <c r="N130" s="852"/>
      <c r="O130" s="853"/>
      <c r="P130" s="854"/>
      <c r="Q130" s="856"/>
      <c r="R130" s="855"/>
      <c r="S130" s="620"/>
      <c r="T130" s="621"/>
      <c r="AG130" s="604" t="str">
        <f t="shared" ca="1" si="6"/>
        <v>P20191001</v>
      </c>
    </row>
    <row r="131" spans="1:33" ht="17.25" customHeight="1">
      <c r="A131" s="484"/>
      <c r="B131" s="809"/>
      <c r="C131" s="850"/>
      <c r="D131" s="810"/>
      <c r="E131" s="851"/>
      <c r="F131" s="852"/>
      <c r="G131" s="852"/>
      <c r="H131" s="852"/>
      <c r="I131" s="853"/>
      <c r="J131" s="854"/>
      <c r="K131" s="855"/>
      <c r="L131" s="851"/>
      <c r="M131" s="852"/>
      <c r="N131" s="852"/>
      <c r="O131" s="853"/>
      <c r="P131" s="854"/>
      <c r="Q131" s="856"/>
      <c r="R131" s="855"/>
      <c r="S131" s="620"/>
      <c r="T131" s="621"/>
      <c r="AG131" s="604" t="str">
        <f t="shared" ca="1" si="6"/>
        <v>P20191001</v>
      </c>
    </row>
    <row r="132" spans="1:33" ht="17.25" customHeight="1">
      <c r="A132" s="484"/>
      <c r="B132" s="809"/>
      <c r="C132" s="850"/>
      <c r="D132" s="810"/>
      <c r="E132" s="851"/>
      <c r="F132" s="852"/>
      <c r="G132" s="852"/>
      <c r="H132" s="852"/>
      <c r="I132" s="853"/>
      <c r="J132" s="854"/>
      <c r="K132" s="855"/>
      <c r="L132" s="851"/>
      <c r="M132" s="852"/>
      <c r="N132" s="852"/>
      <c r="O132" s="853"/>
      <c r="P132" s="854"/>
      <c r="Q132" s="856"/>
      <c r="R132" s="855"/>
      <c r="S132" s="620"/>
      <c r="T132" s="621"/>
      <c r="AG132" s="604" t="str">
        <f t="shared" ca="1" si="6"/>
        <v>P20191001</v>
      </c>
    </row>
    <row r="133" spans="1:33" ht="17.25" customHeight="1">
      <c r="A133" s="484"/>
      <c r="B133" s="809"/>
      <c r="C133" s="850"/>
      <c r="D133" s="810"/>
      <c r="E133" s="851"/>
      <c r="F133" s="852"/>
      <c r="G133" s="852"/>
      <c r="H133" s="852"/>
      <c r="I133" s="853"/>
      <c r="J133" s="854"/>
      <c r="K133" s="855"/>
      <c r="L133" s="851"/>
      <c r="M133" s="852"/>
      <c r="N133" s="852"/>
      <c r="O133" s="853"/>
      <c r="P133" s="854"/>
      <c r="Q133" s="856"/>
      <c r="R133" s="855"/>
      <c r="S133" s="620"/>
      <c r="T133" s="621"/>
      <c r="AG133" s="604" t="str">
        <f t="shared" ca="1" si="6"/>
        <v>P20191001</v>
      </c>
    </row>
    <row r="134" spans="1:33" ht="17.25" customHeight="1">
      <c r="A134" s="484"/>
      <c r="B134" s="809"/>
      <c r="C134" s="850"/>
      <c r="D134" s="810"/>
      <c r="E134" s="851"/>
      <c r="F134" s="852"/>
      <c r="G134" s="852"/>
      <c r="H134" s="852"/>
      <c r="I134" s="853"/>
      <c r="J134" s="854"/>
      <c r="K134" s="855"/>
      <c r="L134" s="851"/>
      <c r="M134" s="852"/>
      <c r="N134" s="852"/>
      <c r="O134" s="853"/>
      <c r="P134" s="854"/>
      <c r="Q134" s="856"/>
      <c r="R134" s="855"/>
      <c r="S134" s="620"/>
      <c r="T134" s="621"/>
      <c r="AG134" s="604" t="str">
        <f t="shared" ca="1" si="6"/>
        <v>P20191001</v>
      </c>
    </row>
    <row r="135" spans="1:33" ht="17.25" customHeight="1">
      <c r="A135" s="484"/>
      <c r="B135" s="809"/>
      <c r="C135" s="850"/>
      <c r="D135" s="810"/>
      <c r="E135" s="851"/>
      <c r="F135" s="852"/>
      <c r="G135" s="852"/>
      <c r="H135" s="852"/>
      <c r="I135" s="853"/>
      <c r="J135" s="854"/>
      <c r="K135" s="855"/>
      <c r="L135" s="851"/>
      <c r="M135" s="852"/>
      <c r="N135" s="852"/>
      <c r="O135" s="853"/>
      <c r="P135" s="854"/>
      <c r="Q135" s="856"/>
      <c r="R135" s="855"/>
      <c r="S135" s="620"/>
      <c r="T135" s="621"/>
      <c r="AG135" s="604" t="str">
        <f t="shared" ca="1" si="6"/>
        <v>P20191001</v>
      </c>
    </row>
    <row r="136" spans="1:33" ht="17.25" customHeight="1">
      <c r="A136" s="484"/>
      <c r="B136" s="809"/>
      <c r="C136" s="850"/>
      <c r="D136" s="810"/>
      <c r="E136" s="851"/>
      <c r="F136" s="852"/>
      <c r="G136" s="852"/>
      <c r="H136" s="852"/>
      <c r="I136" s="853"/>
      <c r="J136" s="854"/>
      <c r="K136" s="855"/>
      <c r="L136" s="851"/>
      <c r="M136" s="852"/>
      <c r="N136" s="852"/>
      <c r="O136" s="853"/>
      <c r="P136" s="854"/>
      <c r="Q136" s="856"/>
      <c r="R136" s="855"/>
      <c r="S136" s="620"/>
      <c r="T136" s="621"/>
      <c r="AG136" s="604" t="str">
        <f t="shared" ca="1" si="6"/>
        <v>P20191001</v>
      </c>
    </row>
    <row r="137" spans="1:33" ht="17.25" customHeight="1">
      <c r="A137" s="484"/>
      <c r="B137" s="809"/>
      <c r="C137" s="850"/>
      <c r="D137" s="810"/>
      <c r="E137" s="851"/>
      <c r="F137" s="852"/>
      <c r="G137" s="852"/>
      <c r="H137" s="852"/>
      <c r="I137" s="853"/>
      <c r="J137" s="854"/>
      <c r="K137" s="855"/>
      <c r="L137" s="851"/>
      <c r="M137" s="852"/>
      <c r="N137" s="852"/>
      <c r="O137" s="853"/>
      <c r="P137" s="854"/>
      <c r="Q137" s="856"/>
      <c r="R137" s="855"/>
      <c r="S137" s="620"/>
      <c r="T137" s="621"/>
      <c r="AG137" s="604" t="str">
        <f t="shared" ca="1" si="6"/>
        <v>P20191001</v>
      </c>
    </row>
    <row r="138" spans="1:33" ht="17.25" customHeight="1">
      <c r="A138" s="484"/>
      <c r="B138" s="809"/>
      <c r="C138" s="850"/>
      <c r="D138" s="810"/>
      <c r="E138" s="851"/>
      <c r="F138" s="852"/>
      <c r="G138" s="852"/>
      <c r="H138" s="852"/>
      <c r="I138" s="853"/>
      <c r="J138" s="854"/>
      <c r="K138" s="855"/>
      <c r="L138" s="851"/>
      <c r="M138" s="852"/>
      <c r="N138" s="852"/>
      <c r="O138" s="853"/>
      <c r="P138" s="854"/>
      <c r="Q138" s="856"/>
      <c r="R138" s="855"/>
      <c r="S138" s="620"/>
      <c r="T138" s="621"/>
      <c r="AG138" s="604" t="str">
        <f t="shared" ca="1" si="6"/>
        <v>P20191001</v>
      </c>
    </row>
    <row r="139" spans="1:33" ht="17.25" customHeight="1">
      <c r="A139" s="484"/>
      <c r="B139" s="809"/>
      <c r="C139" s="850"/>
      <c r="D139" s="810"/>
      <c r="E139" s="851"/>
      <c r="F139" s="852"/>
      <c r="G139" s="852"/>
      <c r="H139" s="852"/>
      <c r="I139" s="853"/>
      <c r="J139" s="854"/>
      <c r="K139" s="855"/>
      <c r="L139" s="851"/>
      <c r="M139" s="852"/>
      <c r="N139" s="852"/>
      <c r="O139" s="853"/>
      <c r="P139" s="854"/>
      <c r="Q139" s="856"/>
      <c r="R139" s="855"/>
      <c r="S139" s="620"/>
      <c r="T139" s="621"/>
      <c r="AG139" s="604" t="str">
        <f t="shared" ca="1" si="6"/>
        <v>P20191001</v>
      </c>
    </row>
    <row r="140" spans="1:33" ht="17.25" customHeight="1" thickBot="1">
      <c r="A140" s="485"/>
      <c r="B140" s="799"/>
      <c r="C140" s="857"/>
      <c r="D140" s="800"/>
      <c r="E140" s="858"/>
      <c r="F140" s="859"/>
      <c r="G140" s="859"/>
      <c r="H140" s="859"/>
      <c r="I140" s="860"/>
      <c r="J140" s="861"/>
      <c r="K140" s="862"/>
      <c r="L140" s="858"/>
      <c r="M140" s="859"/>
      <c r="N140" s="859"/>
      <c r="O140" s="860"/>
      <c r="P140" s="861"/>
      <c r="Q140" s="863"/>
      <c r="R140" s="862"/>
      <c r="S140" s="620"/>
      <c r="T140" s="621"/>
      <c r="AG140" s="604" t="str">
        <f t="shared" ca="1" si="6"/>
        <v>P20191001</v>
      </c>
    </row>
    <row r="141" spans="1:33" ht="17.25" customHeight="1" thickBot="1">
      <c r="A141" s="235"/>
      <c r="B141" s="235"/>
      <c r="C141" s="235"/>
      <c r="D141" s="235"/>
      <c r="E141" s="235"/>
      <c r="F141" s="235"/>
      <c r="G141" s="235"/>
      <c r="H141" s="235"/>
      <c r="I141" s="235"/>
      <c r="J141" s="235"/>
      <c r="K141" s="235"/>
      <c r="L141" s="846" t="s">
        <v>197</v>
      </c>
      <c r="M141" s="791"/>
      <c r="N141" s="791"/>
      <c r="O141" s="791"/>
      <c r="P141" s="791"/>
      <c r="Q141" s="791"/>
      <c r="R141" s="847"/>
      <c r="S141" s="848">
        <f>SUM(T109:T140)</f>
        <v>0</v>
      </c>
      <c r="T141" s="849"/>
      <c r="U141" s="244">
        <f>IF(S141&gt;0,1,0)</f>
        <v>0</v>
      </c>
    </row>
    <row r="142" spans="1:33" ht="24" customHeight="1">
      <c r="A142" s="252" t="str">
        <f>IF((U141+U93+U30)=3,"3/3","")</f>
        <v/>
      </c>
      <c r="B142" s="235"/>
      <c r="C142" s="235"/>
      <c r="D142" s="235"/>
      <c r="E142" s="235"/>
      <c r="F142" s="235"/>
      <c r="G142" s="235"/>
      <c r="H142" s="235"/>
      <c r="I142" s="235"/>
      <c r="J142" s="235"/>
      <c r="K142" s="235"/>
      <c r="L142" s="235"/>
      <c r="M142" s="235"/>
      <c r="N142" s="235"/>
      <c r="O142" s="235"/>
      <c r="P142" s="235"/>
      <c r="Q142" s="235"/>
      <c r="R142" s="235"/>
      <c r="S142" s="783">
        <f>S94</f>
        <v>7.179999828338623</v>
      </c>
      <c r="T142" s="783">
        <f>S94</f>
        <v>7.179999828338623</v>
      </c>
    </row>
    <row r="143" spans="1:33" ht="13.5" hidden="1"/>
    <row r="144" spans="1:33" ht="13.5" hidden="1">
      <c r="B144" s="253">
        <v>2</v>
      </c>
      <c r="C144" s="253">
        <v>3</v>
      </c>
      <c r="D144" s="253">
        <v>4</v>
      </c>
      <c r="E144" s="253">
        <v>5</v>
      </c>
      <c r="F144" s="253">
        <v>6</v>
      </c>
      <c r="G144" s="253">
        <v>7</v>
      </c>
      <c r="H144" s="253">
        <v>8</v>
      </c>
      <c r="I144" s="253">
        <v>9</v>
      </c>
      <c r="J144" s="253">
        <v>10</v>
      </c>
      <c r="K144" s="253">
        <v>11</v>
      </c>
      <c r="L144" s="253">
        <v>12</v>
      </c>
      <c r="M144" s="253">
        <v>13</v>
      </c>
      <c r="N144" s="253">
        <v>14</v>
      </c>
      <c r="O144" s="253">
        <v>15</v>
      </c>
      <c r="P144" s="253">
        <v>16</v>
      </c>
      <c r="Q144" s="253">
        <v>17</v>
      </c>
      <c r="R144" s="253">
        <v>18</v>
      </c>
      <c r="S144" s="253">
        <v>19</v>
      </c>
      <c r="T144" s="253">
        <v>20</v>
      </c>
    </row>
    <row r="145" ht="13.5" hidden="1"/>
    <row r="146" ht="13.5" hidden="1"/>
    <row r="147" ht="13.5" hidden="1"/>
    <row r="148" ht="13.5"/>
    <row r="149" ht="13.5"/>
    <row r="150" ht="13.5"/>
    <row r="151" ht="13.5"/>
  </sheetData>
  <sheetProtection password="CAE0" sheet="1" objects="1" scenarios="1"/>
  <mergeCells count="523">
    <mergeCell ref="S142:T142"/>
    <mergeCell ref="M5:O5"/>
    <mergeCell ref="P5:T5"/>
    <mergeCell ref="M6:O6"/>
    <mergeCell ref="P6:S6"/>
    <mergeCell ref="M7:O7"/>
    <mergeCell ref="P7:T7"/>
    <mergeCell ref="G1:O1"/>
    <mergeCell ref="B2:E2"/>
    <mergeCell ref="M3:O3"/>
    <mergeCell ref="P3:T3"/>
    <mergeCell ref="M4:O4"/>
    <mergeCell ref="P4:T4"/>
    <mergeCell ref="A11:C11"/>
    <mergeCell ref="D11:T11"/>
    <mergeCell ref="A13:C13"/>
    <mergeCell ref="B14:D14"/>
    <mergeCell ref="E14:K14"/>
    <mergeCell ref="L14:R14"/>
    <mergeCell ref="A9:C9"/>
    <mergeCell ref="D9:J9"/>
    <mergeCell ref="L9:R9"/>
    <mergeCell ref="S9:T9"/>
    <mergeCell ref="A10:C10"/>
    <mergeCell ref="D10:T10"/>
    <mergeCell ref="B15:D15"/>
    <mergeCell ref="E15:I15"/>
    <mergeCell ref="J15:K15"/>
    <mergeCell ref="L15:O15"/>
    <mergeCell ref="P15:R15"/>
    <mergeCell ref="B16:D16"/>
    <mergeCell ref="E16:I16"/>
    <mergeCell ref="J16:K16"/>
    <mergeCell ref="L16:O16"/>
    <mergeCell ref="P16:R16"/>
    <mergeCell ref="B17:D17"/>
    <mergeCell ref="E17:I17"/>
    <mergeCell ref="J17:K17"/>
    <mergeCell ref="L17:O17"/>
    <mergeCell ref="P17:R17"/>
    <mergeCell ref="B18:D18"/>
    <mergeCell ref="E18:I18"/>
    <mergeCell ref="J18:K18"/>
    <mergeCell ref="L18:O18"/>
    <mergeCell ref="P18:R18"/>
    <mergeCell ref="B19:D19"/>
    <mergeCell ref="E19:I19"/>
    <mergeCell ref="J19:K19"/>
    <mergeCell ref="L19:O19"/>
    <mergeCell ref="P19:R19"/>
    <mergeCell ref="B20:D20"/>
    <mergeCell ref="E20:I20"/>
    <mergeCell ref="J20:K20"/>
    <mergeCell ref="L20:O20"/>
    <mergeCell ref="P20:R20"/>
    <mergeCell ref="B21:D21"/>
    <mergeCell ref="E21:I21"/>
    <mergeCell ref="J21:K21"/>
    <mergeCell ref="L21:O21"/>
    <mergeCell ref="P21:R21"/>
    <mergeCell ref="B22:D22"/>
    <mergeCell ref="E22:I22"/>
    <mergeCell ref="J22:K22"/>
    <mergeCell ref="L22:O22"/>
    <mergeCell ref="P22:R22"/>
    <mergeCell ref="B23:D23"/>
    <mergeCell ref="E23:I23"/>
    <mergeCell ref="J23:K23"/>
    <mergeCell ref="L23:O23"/>
    <mergeCell ref="P23:R23"/>
    <mergeCell ref="B24:D24"/>
    <mergeCell ref="E24:I24"/>
    <mergeCell ref="J24:K24"/>
    <mergeCell ref="L24:O24"/>
    <mergeCell ref="P24:R24"/>
    <mergeCell ref="B25:D25"/>
    <mergeCell ref="E25:I25"/>
    <mergeCell ref="J25:K25"/>
    <mergeCell ref="L25:O25"/>
    <mergeCell ref="P25:R25"/>
    <mergeCell ref="B26:D26"/>
    <mergeCell ref="E26:I26"/>
    <mergeCell ref="J26:K26"/>
    <mergeCell ref="L26:O26"/>
    <mergeCell ref="P26:R26"/>
    <mergeCell ref="L29:R29"/>
    <mergeCell ref="S29:T29"/>
    <mergeCell ref="P30:Q30"/>
    <mergeCell ref="S30:T30"/>
    <mergeCell ref="A32:B32"/>
    <mergeCell ref="B27:D27"/>
    <mergeCell ref="E27:I27"/>
    <mergeCell ref="J27:K27"/>
    <mergeCell ref="L27:O27"/>
    <mergeCell ref="P27:R27"/>
    <mergeCell ref="B28:D28"/>
    <mergeCell ref="E28:I28"/>
    <mergeCell ref="J28:K28"/>
    <mergeCell ref="L28:O28"/>
    <mergeCell ref="P28:R28"/>
    <mergeCell ref="C32:O32"/>
    <mergeCell ref="P32:R32"/>
    <mergeCell ref="P33:R33"/>
    <mergeCell ref="C34:D34"/>
    <mergeCell ref="E34:G34"/>
    <mergeCell ref="H34:I34"/>
    <mergeCell ref="J34:K34"/>
    <mergeCell ref="M34:O34"/>
    <mergeCell ref="P34:R34"/>
    <mergeCell ref="A33:B35"/>
    <mergeCell ref="C33:D33"/>
    <mergeCell ref="E33:G33"/>
    <mergeCell ref="H33:I33"/>
    <mergeCell ref="J33:K33"/>
    <mergeCell ref="M33:O33"/>
    <mergeCell ref="C35:D35"/>
    <mergeCell ref="F35:J35"/>
    <mergeCell ref="M35:O35"/>
    <mergeCell ref="A37:B37"/>
    <mergeCell ref="P35:R35"/>
    <mergeCell ref="A36:B36"/>
    <mergeCell ref="C36:D36"/>
    <mergeCell ref="E36:G36"/>
    <mergeCell ref="H36:I36"/>
    <mergeCell ref="J36:K36"/>
    <mergeCell ref="M36:O36"/>
    <mergeCell ref="P36:R36"/>
    <mergeCell ref="C37:R37"/>
    <mergeCell ref="A39:J39"/>
    <mergeCell ref="K39:M39"/>
    <mergeCell ref="N39:Q39"/>
    <mergeCell ref="S39:T39"/>
    <mergeCell ref="A40:J40"/>
    <mergeCell ref="K40:M40"/>
    <mergeCell ref="N40:Q40"/>
    <mergeCell ref="S40:T40"/>
    <mergeCell ref="A38:J38"/>
    <mergeCell ref="K38:M38"/>
    <mergeCell ref="N38:Q38"/>
    <mergeCell ref="S38:T38"/>
    <mergeCell ref="B48:E48"/>
    <mergeCell ref="M49:O49"/>
    <mergeCell ref="P49:T49"/>
    <mergeCell ref="M50:O50"/>
    <mergeCell ref="P50:T50"/>
    <mergeCell ref="M51:O51"/>
    <mergeCell ref="P51:T51"/>
    <mergeCell ref="A45:J45"/>
    <mergeCell ref="K41:M41"/>
    <mergeCell ref="N41:Q41"/>
    <mergeCell ref="S41:T41"/>
    <mergeCell ref="K42:R45"/>
    <mergeCell ref="F47:R47"/>
    <mergeCell ref="S46:T46"/>
    <mergeCell ref="A41:J41"/>
    <mergeCell ref="A42:J42"/>
    <mergeCell ref="A43:J43"/>
    <mergeCell ref="A44:J44"/>
    <mergeCell ref="A56:C56"/>
    <mergeCell ref="D56:T56"/>
    <mergeCell ref="A57:C57"/>
    <mergeCell ref="D57:T57"/>
    <mergeCell ref="A59:C59"/>
    <mergeCell ref="B60:D60"/>
    <mergeCell ref="E60:K60"/>
    <mergeCell ref="L60:R60"/>
    <mergeCell ref="M52:O52"/>
    <mergeCell ref="P52:S52"/>
    <mergeCell ref="M53:O53"/>
    <mergeCell ref="P53:T53"/>
    <mergeCell ref="A55:C55"/>
    <mergeCell ref="D55:J55"/>
    <mergeCell ref="L55:R55"/>
    <mergeCell ref="S55:T55"/>
    <mergeCell ref="B61:D61"/>
    <mergeCell ref="E61:I61"/>
    <mergeCell ref="J61:K61"/>
    <mergeCell ref="L61:O61"/>
    <mergeCell ref="P61:R61"/>
    <mergeCell ref="B62:D62"/>
    <mergeCell ref="E62:I62"/>
    <mergeCell ref="J62:K62"/>
    <mergeCell ref="L62:O62"/>
    <mergeCell ref="P62:R62"/>
    <mergeCell ref="B63:D63"/>
    <mergeCell ref="E63:I63"/>
    <mergeCell ref="J63:K63"/>
    <mergeCell ref="L63:O63"/>
    <mergeCell ref="P63:R63"/>
    <mergeCell ref="B64:D64"/>
    <mergeCell ref="E64:I64"/>
    <mergeCell ref="J64:K64"/>
    <mergeCell ref="L64:O64"/>
    <mergeCell ref="P64:R64"/>
    <mergeCell ref="B65:D65"/>
    <mergeCell ref="E65:I65"/>
    <mergeCell ref="J65:K65"/>
    <mergeCell ref="L65:O65"/>
    <mergeCell ref="P65:R65"/>
    <mergeCell ref="B66:D66"/>
    <mergeCell ref="E66:I66"/>
    <mergeCell ref="J66:K66"/>
    <mergeCell ref="L66:O66"/>
    <mergeCell ref="P66:R66"/>
    <mergeCell ref="B67:D67"/>
    <mergeCell ref="E67:I67"/>
    <mergeCell ref="J67:K67"/>
    <mergeCell ref="L67:O67"/>
    <mergeCell ref="P67:R67"/>
    <mergeCell ref="B68:D68"/>
    <mergeCell ref="E68:I68"/>
    <mergeCell ref="J68:K68"/>
    <mergeCell ref="L68:O68"/>
    <mergeCell ref="P68:R68"/>
    <mergeCell ref="B69:D69"/>
    <mergeCell ref="E69:I69"/>
    <mergeCell ref="J69:K69"/>
    <mergeCell ref="L69:O69"/>
    <mergeCell ref="P69:R69"/>
    <mergeCell ref="B70:D70"/>
    <mergeCell ref="E70:I70"/>
    <mergeCell ref="J70:K70"/>
    <mergeCell ref="L70:O70"/>
    <mergeCell ref="P70:R70"/>
    <mergeCell ref="B71:D71"/>
    <mergeCell ref="E71:I71"/>
    <mergeCell ref="J71:K71"/>
    <mergeCell ref="L71:O71"/>
    <mergeCell ref="P71:R71"/>
    <mergeCell ref="B72:D72"/>
    <mergeCell ref="E72:I72"/>
    <mergeCell ref="J72:K72"/>
    <mergeCell ref="L72:O72"/>
    <mergeCell ref="P72:R72"/>
    <mergeCell ref="B73:D73"/>
    <mergeCell ref="E73:I73"/>
    <mergeCell ref="J73:K73"/>
    <mergeCell ref="L73:O73"/>
    <mergeCell ref="P73:R73"/>
    <mergeCell ref="B74:D74"/>
    <mergeCell ref="E74:I74"/>
    <mergeCell ref="J74:K74"/>
    <mergeCell ref="L74:O74"/>
    <mergeCell ref="P74:R74"/>
    <mergeCell ref="B75:D75"/>
    <mergeCell ref="E75:I75"/>
    <mergeCell ref="J75:K75"/>
    <mergeCell ref="L75:O75"/>
    <mergeCell ref="P75:R75"/>
    <mergeCell ref="B76:D76"/>
    <mergeCell ref="E76:I76"/>
    <mergeCell ref="J76:K76"/>
    <mergeCell ref="L76:O76"/>
    <mergeCell ref="P76:R76"/>
    <mergeCell ref="B77:D77"/>
    <mergeCell ref="E77:I77"/>
    <mergeCell ref="J77:K77"/>
    <mergeCell ref="L77:O77"/>
    <mergeCell ref="P77:R77"/>
    <mergeCell ref="B78:D78"/>
    <mergeCell ref="E78:I78"/>
    <mergeCell ref="J78:K78"/>
    <mergeCell ref="L78:O78"/>
    <mergeCell ref="P78:R78"/>
    <mergeCell ref="B79:D79"/>
    <mergeCell ref="E79:I79"/>
    <mergeCell ref="J79:K79"/>
    <mergeCell ref="L79:O79"/>
    <mergeCell ref="P79:R79"/>
    <mergeCell ref="B80:D80"/>
    <mergeCell ref="E80:I80"/>
    <mergeCell ref="J80:K80"/>
    <mergeCell ref="L80:O80"/>
    <mergeCell ref="P80:R80"/>
    <mergeCell ref="B81:D81"/>
    <mergeCell ref="E81:I81"/>
    <mergeCell ref="J81:K81"/>
    <mergeCell ref="L81:O81"/>
    <mergeCell ref="P81:R81"/>
    <mergeCell ref="B82:D82"/>
    <mergeCell ref="E82:I82"/>
    <mergeCell ref="J82:K82"/>
    <mergeCell ref="L82:O82"/>
    <mergeCell ref="P82:R82"/>
    <mergeCell ref="B83:D83"/>
    <mergeCell ref="E83:I83"/>
    <mergeCell ref="J83:K83"/>
    <mergeCell ref="L83:O83"/>
    <mergeCell ref="P83:R83"/>
    <mergeCell ref="B84:D84"/>
    <mergeCell ref="E84:I84"/>
    <mergeCell ref="J84:K84"/>
    <mergeCell ref="L84:O84"/>
    <mergeCell ref="P84:R84"/>
    <mergeCell ref="B85:D85"/>
    <mergeCell ref="E85:I85"/>
    <mergeCell ref="J85:K85"/>
    <mergeCell ref="L85:O85"/>
    <mergeCell ref="P85:R85"/>
    <mergeCell ref="B86:D86"/>
    <mergeCell ref="E86:I86"/>
    <mergeCell ref="J86:K86"/>
    <mergeCell ref="L86:O86"/>
    <mergeCell ref="P86:R86"/>
    <mergeCell ref="B87:D87"/>
    <mergeCell ref="E87:I87"/>
    <mergeCell ref="J87:K87"/>
    <mergeCell ref="L87:O87"/>
    <mergeCell ref="P87:R87"/>
    <mergeCell ref="B88:D88"/>
    <mergeCell ref="E88:I88"/>
    <mergeCell ref="J88:K88"/>
    <mergeCell ref="L88:O88"/>
    <mergeCell ref="P88:R88"/>
    <mergeCell ref="B89:D89"/>
    <mergeCell ref="E89:I89"/>
    <mergeCell ref="J89:K89"/>
    <mergeCell ref="L89:O89"/>
    <mergeCell ref="P89:R89"/>
    <mergeCell ref="B90:D90"/>
    <mergeCell ref="E90:I90"/>
    <mergeCell ref="J90:K90"/>
    <mergeCell ref="L90:O90"/>
    <mergeCell ref="P90:R90"/>
    <mergeCell ref="B96:E96"/>
    <mergeCell ref="M97:O97"/>
    <mergeCell ref="P97:T97"/>
    <mergeCell ref="B91:D91"/>
    <mergeCell ref="E91:I91"/>
    <mergeCell ref="J91:K91"/>
    <mergeCell ref="L91:O91"/>
    <mergeCell ref="P91:R91"/>
    <mergeCell ref="B92:D92"/>
    <mergeCell ref="E92:I92"/>
    <mergeCell ref="J92:K92"/>
    <mergeCell ref="L92:O92"/>
    <mergeCell ref="P92:R92"/>
    <mergeCell ref="S94:T94"/>
    <mergeCell ref="M98:O98"/>
    <mergeCell ref="P98:T98"/>
    <mergeCell ref="M99:O99"/>
    <mergeCell ref="P99:T99"/>
    <mergeCell ref="M100:O100"/>
    <mergeCell ref="P100:S100"/>
    <mergeCell ref="L93:R93"/>
    <mergeCell ref="S93:T93"/>
    <mergeCell ref="F95:R95"/>
    <mergeCell ref="A104:C104"/>
    <mergeCell ref="D104:T104"/>
    <mergeCell ref="A105:C105"/>
    <mergeCell ref="D105:T105"/>
    <mergeCell ref="A107:C107"/>
    <mergeCell ref="B108:D108"/>
    <mergeCell ref="E108:K108"/>
    <mergeCell ref="L108:R108"/>
    <mergeCell ref="M101:O101"/>
    <mergeCell ref="P101:T101"/>
    <mergeCell ref="A103:C103"/>
    <mergeCell ref="D103:J103"/>
    <mergeCell ref="L103:R103"/>
    <mergeCell ref="S103:T103"/>
    <mergeCell ref="B109:D109"/>
    <mergeCell ref="E109:I109"/>
    <mergeCell ref="J109:K109"/>
    <mergeCell ref="L109:O109"/>
    <mergeCell ref="P109:R109"/>
    <mergeCell ref="B110:D110"/>
    <mergeCell ref="E110:I110"/>
    <mergeCell ref="J110:K110"/>
    <mergeCell ref="L110:O110"/>
    <mergeCell ref="P110:R110"/>
    <mergeCell ref="B111:D111"/>
    <mergeCell ref="E111:I111"/>
    <mergeCell ref="J111:K111"/>
    <mergeCell ref="L111:O111"/>
    <mergeCell ref="P111:R111"/>
    <mergeCell ref="B112:D112"/>
    <mergeCell ref="E112:I112"/>
    <mergeCell ref="J112:K112"/>
    <mergeCell ref="L112:O112"/>
    <mergeCell ref="P112:R112"/>
    <mergeCell ref="B113:D113"/>
    <mergeCell ref="E113:I113"/>
    <mergeCell ref="J113:K113"/>
    <mergeCell ref="L113:O113"/>
    <mergeCell ref="P113:R113"/>
    <mergeCell ref="B114:D114"/>
    <mergeCell ref="E114:I114"/>
    <mergeCell ref="J114:K114"/>
    <mergeCell ref="L114:O114"/>
    <mergeCell ref="P114:R114"/>
    <mergeCell ref="B115:D115"/>
    <mergeCell ref="E115:I115"/>
    <mergeCell ref="J115:K115"/>
    <mergeCell ref="L115:O115"/>
    <mergeCell ref="P115:R115"/>
    <mergeCell ref="B116:D116"/>
    <mergeCell ref="E116:I116"/>
    <mergeCell ref="J116:K116"/>
    <mergeCell ref="L116:O116"/>
    <mergeCell ref="P116:R116"/>
    <mergeCell ref="B117:D117"/>
    <mergeCell ref="E117:I117"/>
    <mergeCell ref="J117:K117"/>
    <mergeCell ref="L117:O117"/>
    <mergeCell ref="P117:R117"/>
    <mergeCell ref="B118:D118"/>
    <mergeCell ref="E118:I118"/>
    <mergeCell ref="J118:K118"/>
    <mergeCell ref="L118:O118"/>
    <mergeCell ref="P118:R118"/>
    <mergeCell ref="B119:D119"/>
    <mergeCell ref="E119:I119"/>
    <mergeCell ref="J119:K119"/>
    <mergeCell ref="L119:O119"/>
    <mergeCell ref="P119:R119"/>
    <mergeCell ref="B120:D120"/>
    <mergeCell ref="E120:I120"/>
    <mergeCell ref="J120:K120"/>
    <mergeCell ref="L120:O120"/>
    <mergeCell ref="P120:R120"/>
    <mergeCell ref="B121:D121"/>
    <mergeCell ref="E121:I121"/>
    <mergeCell ref="J121:K121"/>
    <mergeCell ref="L121:O121"/>
    <mergeCell ref="P121:R121"/>
    <mergeCell ref="B122:D122"/>
    <mergeCell ref="E122:I122"/>
    <mergeCell ref="J122:K122"/>
    <mergeCell ref="L122:O122"/>
    <mergeCell ref="P122:R122"/>
    <mergeCell ref="B123:D123"/>
    <mergeCell ref="E123:I123"/>
    <mergeCell ref="J123:K123"/>
    <mergeCell ref="L123:O123"/>
    <mergeCell ref="P123:R123"/>
    <mergeCell ref="B124:D124"/>
    <mergeCell ref="E124:I124"/>
    <mergeCell ref="J124:K124"/>
    <mergeCell ref="L124:O124"/>
    <mergeCell ref="P124:R124"/>
    <mergeCell ref="B125:D125"/>
    <mergeCell ref="E125:I125"/>
    <mergeCell ref="J125:K125"/>
    <mergeCell ref="L125:O125"/>
    <mergeCell ref="P125:R125"/>
    <mergeCell ref="B126:D126"/>
    <mergeCell ref="E126:I126"/>
    <mergeCell ref="J126:K126"/>
    <mergeCell ref="L126:O126"/>
    <mergeCell ref="P126:R126"/>
    <mergeCell ref="B127:D127"/>
    <mergeCell ref="E127:I127"/>
    <mergeCell ref="J127:K127"/>
    <mergeCell ref="L127:O127"/>
    <mergeCell ref="P127:R127"/>
    <mergeCell ref="B128:D128"/>
    <mergeCell ref="E128:I128"/>
    <mergeCell ref="J128:K128"/>
    <mergeCell ref="L128:O128"/>
    <mergeCell ref="P128:R128"/>
    <mergeCell ref="B129:D129"/>
    <mergeCell ref="E129:I129"/>
    <mergeCell ref="J129:K129"/>
    <mergeCell ref="L129:O129"/>
    <mergeCell ref="P129:R129"/>
    <mergeCell ref="B130:D130"/>
    <mergeCell ref="E130:I130"/>
    <mergeCell ref="J130:K130"/>
    <mergeCell ref="L130:O130"/>
    <mergeCell ref="P130:R130"/>
    <mergeCell ref="B131:D131"/>
    <mergeCell ref="E131:I131"/>
    <mergeCell ref="J131:K131"/>
    <mergeCell ref="L131:O131"/>
    <mergeCell ref="P131:R131"/>
    <mergeCell ref="B132:D132"/>
    <mergeCell ref="E132:I132"/>
    <mergeCell ref="J132:K132"/>
    <mergeCell ref="L132:O132"/>
    <mergeCell ref="P132:R132"/>
    <mergeCell ref="B133:D133"/>
    <mergeCell ref="E133:I133"/>
    <mergeCell ref="J133:K133"/>
    <mergeCell ref="L133:O133"/>
    <mergeCell ref="P133:R133"/>
    <mergeCell ref="B134:D134"/>
    <mergeCell ref="E134:I134"/>
    <mergeCell ref="J134:K134"/>
    <mergeCell ref="L134:O134"/>
    <mergeCell ref="P134:R134"/>
    <mergeCell ref="B135:D135"/>
    <mergeCell ref="E135:I135"/>
    <mergeCell ref="J135:K135"/>
    <mergeCell ref="L135:O135"/>
    <mergeCell ref="P135:R135"/>
    <mergeCell ref="B136:D136"/>
    <mergeCell ref="E136:I136"/>
    <mergeCell ref="J136:K136"/>
    <mergeCell ref="L136:O136"/>
    <mergeCell ref="P136:R136"/>
    <mergeCell ref="B137:D137"/>
    <mergeCell ref="E137:I137"/>
    <mergeCell ref="J137:K137"/>
    <mergeCell ref="L137:O137"/>
    <mergeCell ref="P137:R137"/>
    <mergeCell ref="B138:D138"/>
    <mergeCell ref="E138:I138"/>
    <mergeCell ref="J138:K138"/>
    <mergeCell ref="L138:O138"/>
    <mergeCell ref="P138:R138"/>
    <mergeCell ref="L141:R141"/>
    <mergeCell ref="S141:T141"/>
    <mergeCell ref="B139:D139"/>
    <mergeCell ref="E139:I139"/>
    <mergeCell ref="J139:K139"/>
    <mergeCell ref="L139:O139"/>
    <mergeCell ref="P139:R139"/>
    <mergeCell ref="B140:D140"/>
    <mergeCell ref="E140:I140"/>
    <mergeCell ref="J140:K140"/>
    <mergeCell ref="L140:O140"/>
    <mergeCell ref="P140:R140"/>
  </mergeCells>
  <phoneticPr fontId="24"/>
  <conditionalFormatting sqref="T15:T28">
    <cfRule type="expression" dxfId="25" priority="6">
      <formula>AND(T15&lt;&gt;"",S15="")</formula>
    </cfRule>
  </conditionalFormatting>
  <conditionalFormatting sqref="T33:T36">
    <cfRule type="expression" dxfId="24" priority="5">
      <formula>AND(T33&lt;&gt;"",S33="")</formula>
    </cfRule>
  </conditionalFormatting>
  <conditionalFormatting sqref="T61:T92">
    <cfRule type="expression" dxfId="23" priority="4">
      <formula>AND(T61&lt;&gt;"",S61="")</formula>
    </cfRule>
  </conditionalFormatting>
  <conditionalFormatting sqref="T109:T140">
    <cfRule type="expression" dxfId="22" priority="3">
      <formula>AND(T109&lt;&gt;"",S109="")</formula>
    </cfRule>
  </conditionalFormatting>
  <conditionalFormatting sqref="T37">
    <cfRule type="expression" dxfId="21" priority="1">
      <formula>AND(T37&lt;&gt;"",S37="")</formula>
    </cfRule>
  </conditionalFormatting>
  <dataValidations count="10">
    <dataValidation type="time" imeMode="off" operator="greaterThanOrEqual" allowBlank="1" showInputMessage="1" showErrorMessage="1" errorTitle="時刻入力エラー" error="60進法（ｘｘ：ｘｘ）で入力してください。" promptTitle="時刻" prompt="[60進法(xx:xx)]" sqref="J61:K92 P61:R92 J109:K140 P109:R140 J15:K28 P15:R28" xr:uid="{00000000-0002-0000-0600-000001000000}">
      <formula1>0</formula1>
    </dataValidation>
    <dataValidation operator="greaterThan" allowBlank="1" showInputMessage="1" showErrorMessage="1" sqref="T33:T37" xr:uid="{00000000-0002-0000-0600-000002000000}"/>
    <dataValidation type="date" operator="greaterThan" allowBlank="1" showInputMessage="1" showErrorMessage="1" errorTitle="日付入力制限" error="XX/XX/XX (年/月/日)、またはXX/XX (月/日)で入力して下さい。" sqref="D9:J9" xr:uid="{00000000-0002-0000-0600-000003000000}">
      <formula1>40179</formula1>
    </dataValidation>
    <dataValidation type="date" operator="greaterThanOrEqual" allowBlank="1" showInputMessage="1" showErrorMessage="1" errorTitle="日付入力制限" error="XX/XX/XX (年/月/日)、またはXX/XX (月/日)で入力して下さい。" sqref="J36:K36 E33:G34 E36:G36 J33:K34" xr:uid="{00000000-0002-0000-0600-000004000000}">
      <formula1>39083</formula1>
    </dataValidation>
    <dataValidation type="date" imeMode="off" operator="greaterThan" allowBlank="1" showInputMessage="1" showErrorMessage="1" errorTitle="日付入力制限" error="XX/XX/XX (年/月/日)、またはXX/XX (月/日)で入力して下さい。" sqref="L9:R9" xr:uid="{00000000-0002-0000-0600-000006000000}">
      <formula1>40179</formula1>
    </dataValidation>
    <dataValidation imeMode="hiragana" allowBlank="1" showInputMessage="1" showErrorMessage="1" sqref="D10:T11" xr:uid="{00000000-0002-0000-0600-000007000000}"/>
    <dataValidation type="date" imeMode="off" operator="greaterThan" allowBlank="1" showInputMessage="1" showErrorMessage="1" errorTitle="日付入力制限" error="XX/XX/XX (年/月/日)、またはXX/XX (月/日)で入力して下さい。" sqref="A109:A140 A61:A92 A15:A28" xr:uid="{00000000-0002-0000-0600-000008000000}">
      <formula1>43466</formula1>
    </dataValidation>
    <dataValidation type="whole" imeMode="off" operator="greaterThanOrEqual" allowBlank="1" showErrorMessage="1" errorTitle="入力金額エラー" error="0円以上で入力下さい。" sqref="T109:T140 T15:T28 T61:T92" xr:uid="{00000000-0002-0000-0600-000009000000}">
      <formula1>0</formula1>
    </dataValidation>
    <dataValidation type="textLength" imeMode="hiragana" operator="lessThanOrEqual" allowBlank="1" showInputMessage="1" showErrorMessage="1" errorTitle="入力文字数制限" error="１００文字以内で入力してください。" sqref="A39:A45" xr:uid="{00000000-0002-0000-0600-000005000000}">
      <formula1>100</formula1>
    </dataValidation>
    <dataValidation type="list" operator="greaterThan" allowBlank="1" showInputMessage="1" showErrorMessage="1" sqref="S109:S140 S33:S37 S61:S92 S15:S28" xr:uid="{5EFDF9DC-4822-4043-8F7C-A014A9464D90}">
      <formula1>INDIRECT(AG15)</formula1>
    </dataValidation>
  </dataValidations>
  <printOptions horizontalCentered="1"/>
  <pageMargins left="0.59055118110236227" right="0" top="0.59055118110236227" bottom="0" header="0" footer="0"/>
  <pageSetup paperSize="9" scale="99" fitToHeight="0" orientation="portrait" blackAndWhite="1" horizontalDpi="1200" verticalDpi="1200" r:id="rId1"/>
  <headerFooter alignWithMargins="0">
    <oddFooter>&amp;L&amp;P/&amp;N&amp;R&amp;"ＭＳ Ｐゴシック,斜体"&amp;9Printing &amp;D</oddFooter>
  </headerFooter>
  <rowBreaks count="2" manualBreakCount="2">
    <brk id="46" max="20" man="1"/>
    <brk id="94" max="16383" man="1"/>
  </rowBreaks>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G42"/>
  <sheetViews>
    <sheetView showGridLines="0" showRowColHeaders="0" zoomScale="130" zoomScaleNormal="130" workbookViewId="0">
      <pane xSplit="1" ySplit="1" topLeftCell="B5" activePane="bottomRight" state="frozen"/>
      <selection pane="topRight"/>
      <selection pane="bottomLeft"/>
      <selection pane="bottomRight"/>
    </sheetView>
  </sheetViews>
  <sheetFormatPr defaultColWidth="0" defaultRowHeight="24.75" customHeight="1" zeroHeight="1"/>
  <cols>
    <col min="1" max="1" width="3.5" style="26" bestFit="1" customWidth="1"/>
    <col min="2" max="2" width="19.375" style="26" customWidth="1"/>
    <col min="3" max="3" width="27.875" style="26" customWidth="1"/>
    <col min="4" max="4" width="6.75" style="26" customWidth="1"/>
    <col min="5" max="5" width="0.75" style="26" customWidth="1"/>
    <col min="6" max="6" width="11.125" style="26" hidden="1" customWidth="1"/>
    <col min="7" max="7" width="13.375" style="26" hidden="1" customWidth="1"/>
    <col min="8" max="8" width="2" style="26" customWidth="1"/>
    <col min="9" max="16384" width="0" style="26" hidden="1"/>
  </cols>
  <sheetData>
    <row r="1" spans="1:7" s="32" customFormat="1" ht="24.75" customHeight="1" thickTop="1" thickBot="1">
      <c r="A1" s="29"/>
      <c r="B1" s="30" t="s">
        <v>29</v>
      </c>
      <c r="C1" s="31" t="s">
        <v>30</v>
      </c>
    </row>
    <row r="2" spans="1:7" s="32" customFormat="1" ht="15.75" customHeight="1" thickTop="1">
      <c r="A2" s="33">
        <v>1</v>
      </c>
      <c r="B2" s="575">
        <v>43507</v>
      </c>
      <c r="C2" s="499" t="s">
        <v>604</v>
      </c>
      <c r="F2" s="498" t="s">
        <v>448</v>
      </c>
    </row>
    <row r="3" spans="1:7" s="32" customFormat="1" ht="15.75" customHeight="1">
      <c r="A3" s="34">
        <v>2</v>
      </c>
      <c r="B3" s="575">
        <v>43545</v>
      </c>
      <c r="C3" s="35" t="s">
        <v>38</v>
      </c>
      <c r="F3" s="498" t="s">
        <v>448</v>
      </c>
    </row>
    <row r="4" spans="1:7" s="32" customFormat="1" ht="15.75" customHeight="1">
      <c r="A4" s="34">
        <v>3</v>
      </c>
      <c r="B4" s="575">
        <v>43584</v>
      </c>
      <c r="C4" s="35" t="s">
        <v>401</v>
      </c>
      <c r="F4" s="498" t="s">
        <v>453</v>
      </c>
      <c r="G4" s="498" t="s">
        <v>449</v>
      </c>
    </row>
    <row r="5" spans="1:7" s="32" customFormat="1" ht="15.75" customHeight="1">
      <c r="A5" s="34">
        <v>4</v>
      </c>
      <c r="B5" s="575">
        <v>43585</v>
      </c>
      <c r="C5" s="499" t="s">
        <v>614</v>
      </c>
      <c r="F5" s="498" t="s">
        <v>452</v>
      </c>
      <c r="G5" s="498" t="s">
        <v>454</v>
      </c>
    </row>
    <row r="6" spans="1:7" s="32" customFormat="1" ht="15.75" customHeight="1">
      <c r="A6" s="34">
        <v>5</v>
      </c>
      <c r="B6" s="575">
        <v>43586</v>
      </c>
      <c r="C6" s="499" t="s">
        <v>615</v>
      </c>
    </row>
    <row r="7" spans="1:7" s="32" customFormat="1" ht="15.75" customHeight="1">
      <c r="A7" s="34">
        <v>6</v>
      </c>
      <c r="B7" s="575">
        <v>43587</v>
      </c>
      <c r="C7" s="499" t="s">
        <v>614</v>
      </c>
      <c r="D7" s="498"/>
      <c r="F7" s="498" t="s">
        <v>451</v>
      </c>
      <c r="G7" s="498" t="s">
        <v>455</v>
      </c>
    </row>
    <row r="8" spans="1:7" s="32" customFormat="1" ht="15.75" customHeight="1">
      <c r="A8" s="34">
        <v>7</v>
      </c>
      <c r="B8" s="575">
        <v>43588</v>
      </c>
      <c r="C8" s="499" t="s">
        <v>364</v>
      </c>
      <c r="D8" s="498"/>
    </row>
    <row r="9" spans="1:7" s="32" customFormat="1" ht="15.75" customHeight="1">
      <c r="A9" s="34">
        <v>8</v>
      </c>
      <c r="B9" s="575">
        <v>43589</v>
      </c>
      <c r="C9" s="35" t="s">
        <v>31</v>
      </c>
      <c r="D9" s="498"/>
      <c r="F9" s="498" t="s">
        <v>450</v>
      </c>
      <c r="G9" s="498" t="s">
        <v>456</v>
      </c>
    </row>
    <row r="10" spans="1:7" s="32" customFormat="1" ht="15.75" customHeight="1">
      <c r="A10" s="34">
        <v>9</v>
      </c>
      <c r="B10" s="575">
        <v>43590</v>
      </c>
      <c r="C10" s="35" t="s">
        <v>32</v>
      </c>
      <c r="D10" s="498"/>
    </row>
    <row r="11" spans="1:7" s="32" customFormat="1" ht="15.75" customHeight="1">
      <c r="A11" s="34">
        <v>10</v>
      </c>
      <c r="B11" s="575">
        <v>43591</v>
      </c>
      <c r="C11" s="499" t="s">
        <v>597</v>
      </c>
      <c r="D11" s="498"/>
    </row>
    <row r="12" spans="1:7" s="32" customFormat="1" ht="15.75" customHeight="1">
      <c r="A12" s="34">
        <v>11</v>
      </c>
      <c r="B12" s="581">
        <v>43661</v>
      </c>
      <c r="C12" s="459" t="s">
        <v>33</v>
      </c>
      <c r="D12" s="498"/>
    </row>
    <row r="13" spans="1:7" s="32" customFormat="1" ht="15.75" customHeight="1">
      <c r="A13" s="34">
        <v>12</v>
      </c>
      <c r="B13" s="575">
        <v>43688</v>
      </c>
      <c r="C13" s="499" t="s">
        <v>591</v>
      </c>
      <c r="F13" s="498" t="s">
        <v>458</v>
      </c>
      <c r="G13" s="498" t="s">
        <v>459</v>
      </c>
    </row>
    <row r="14" spans="1:7" s="32" customFormat="1" ht="15.75" customHeight="1">
      <c r="A14" s="34">
        <v>13</v>
      </c>
      <c r="B14" s="575">
        <v>43689</v>
      </c>
      <c r="C14" s="499" t="s">
        <v>597</v>
      </c>
      <c r="F14" s="498" t="s">
        <v>457</v>
      </c>
      <c r="G14" s="498" t="s">
        <v>460</v>
      </c>
    </row>
    <row r="15" spans="1:7" s="32" customFormat="1" ht="15.75" customHeight="1">
      <c r="A15" s="34">
        <v>14</v>
      </c>
      <c r="B15" s="575">
        <v>43724</v>
      </c>
      <c r="C15" s="499" t="s">
        <v>34</v>
      </c>
      <c r="F15" s="498" t="s">
        <v>461</v>
      </c>
      <c r="G15" s="498" t="s">
        <v>464</v>
      </c>
    </row>
    <row r="16" spans="1:7" s="32" customFormat="1" ht="15.75" customHeight="1">
      <c r="A16" s="34">
        <v>15</v>
      </c>
      <c r="B16" s="575">
        <v>43731</v>
      </c>
      <c r="C16" s="499" t="s">
        <v>592</v>
      </c>
      <c r="F16" s="498" t="s">
        <v>462</v>
      </c>
      <c r="G16" s="498" t="s">
        <v>463</v>
      </c>
    </row>
    <row r="17" spans="1:7" s="32" customFormat="1" ht="15.75" customHeight="1">
      <c r="A17" s="34">
        <v>16</v>
      </c>
      <c r="B17" s="575">
        <v>43752</v>
      </c>
      <c r="C17" s="35" t="s">
        <v>35</v>
      </c>
      <c r="F17" s="498" t="s">
        <v>466</v>
      </c>
      <c r="G17" s="498" t="s">
        <v>467</v>
      </c>
    </row>
    <row r="18" spans="1:7" s="32" customFormat="1" ht="15.75" customHeight="1">
      <c r="A18" s="34">
        <v>17</v>
      </c>
      <c r="B18" s="575">
        <v>43760</v>
      </c>
      <c r="C18" s="499" t="s">
        <v>616</v>
      </c>
    </row>
    <row r="19" spans="1:7" s="32" customFormat="1" ht="15.75" customHeight="1">
      <c r="A19" s="34">
        <v>18</v>
      </c>
      <c r="B19" s="575">
        <v>43772</v>
      </c>
      <c r="C19" s="35" t="s">
        <v>36</v>
      </c>
      <c r="F19" s="498" t="s">
        <v>465</v>
      </c>
      <c r="G19" s="498" t="s">
        <v>468</v>
      </c>
    </row>
    <row r="20" spans="1:7" s="32" customFormat="1" ht="15.75" customHeight="1">
      <c r="A20" s="34">
        <v>19</v>
      </c>
      <c r="B20" s="575">
        <v>43773</v>
      </c>
      <c r="C20" s="499" t="s">
        <v>597</v>
      </c>
    </row>
    <row r="21" spans="1:7" s="32" customFormat="1" ht="15.75" customHeight="1">
      <c r="A21" s="34">
        <v>20</v>
      </c>
      <c r="B21" s="575">
        <v>43792</v>
      </c>
      <c r="C21" s="499" t="s">
        <v>617</v>
      </c>
    </row>
    <row r="22" spans="1:7" s="32" customFormat="1" ht="15.75" customHeight="1">
      <c r="A22" s="34">
        <v>21</v>
      </c>
      <c r="B22" s="575">
        <v>43830</v>
      </c>
      <c r="C22" s="499" t="s">
        <v>605</v>
      </c>
      <c r="F22" s="498" t="s">
        <v>469</v>
      </c>
      <c r="G22" s="498" t="s">
        <v>470</v>
      </c>
    </row>
    <row r="23" spans="1:7" s="32" customFormat="1" ht="15.75" customHeight="1">
      <c r="A23" s="34">
        <v>22</v>
      </c>
      <c r="B23" s="575">
        <v>43831</v>
      </c>
      <c r="C23" s="459" t="s">
        <v>37</v>
      </c>
      <c r="D23" s="498"/>
    </row>
    <row r="24" spans="1:7" s="32" customFormat="1" ht="15.75" customHeight="1">
      <c r="A24" s="34">
        <v>23</v>
      </c>
      <c r="B24" s="575">
        <v>43843</v>
      </c>
      <c r="C24" s="499" t="s">
        <v>365</v>
      </c>
      <c r="D24" s="498"/>
      <c r="F24" s="498" t="s">
        <v>471</v>
      </c>
      <c r="G24" s="498" t="s">
        <v>472</v>
      </c>
    </row>
    <row r="25" spans="1:7" s="32" customFormat="1" ht="15.75" customHeight="1">
      <c r="A25" s="34">
        <v>24</v>
      </c>
      <c r="B25" s="575">
        <v>43872</v>
      </c>
      <c r="C25" s="499" t="s">
        <v>594</v>
      </c>
      <c r="D25" s="498"/>
      <c r="F25" s="498" t="s">
        <v>473</v>
      </c>
      <c r="G25" s="498" t="s">
        <v>474</v>
      </c>
    </row>
    <row r="26" spans="1:7" s="32" customFormat="1" ht="15.75" customHeight="1">
      <c r="A26" s="34">
        <v>25</v>
      </c>
      <c r="B26" s="575">
        <v>43884</v>
      </c>
      <c r="C26" s="499" t="s">
        <v>593</v>
      </c>
    </row>
    <row r="27" spans="1:7" s="32" customFormat="1" ht="15.75" customHeight="1">
      <c r="A27" s="34">
        <v>26</v>
      </c>
      <c r="B27" s="575">
        <v>43885</v>
      </c>
      <c r="C27" s="499" t="s">
        <v>597</v>
      </c>
      <c r="D27" s="498"/>
    </row>
    <row r="28" spans="1:7" s="32" customFormat="1" ht="15.75" customHeight="1">
      <c r="A28" s="34">
        <v>27</v>
      </c>
      <c r="B28" s="575">
        <v>43910</v>
      </c>
      <c r="C28" s="499" t="s">
        <v>38</v>
      </c>
      <c r="D28" s="498"/>
    </row>
    <row r="29" spans="1:7" s="32" customFormat="1" ht="15.75" customHeight="1">
      <c r="A29" s="34">
        <v>28</v>
      </c>
      <c r="B29" s="575"/>
      <c r="C29" s="499"/>
      <c r="D29" s="498"/>
    </row>
    <row r="30" spans="1:7" s="32" customFormat="1" ht="15.75" customHeight="1">
      <c r="A30" s="34">
        <v>29</v>
      </c>
      <c r="B30" s="575"/>
      <c r="C30" s="499"/>
    </row>
    <row r="31" spans="1:7" s="32" customFormat="1" ht="15.75" customHeight="1">
      <c r="A31" s="34">
        <v>30</v>
      </c>
      <c r="B31" s="575"/>
      <c r="C31" s="499"/>
    </row>
    <row r="32" spans="1:7" s="32" customFormat="1" ht="15.75" customHeight="1">
      <c r="A32" s="34">
        <v>31</v>
      </c>
      <c r="B32" s="575"/>
      <c r="C32" s="499"/>
    </row>
    <row r="33" spans="1:3" s="32" customFormat="1" ht="15.75" customHeight="1">
      <c r="A33" s="34">
        <v>32</v>
      </c>
      <c r="B33" s="575"/>
      <c r="C33" s="499"/>
    </row>
    <row r="34" spans="1:3" s="32" customFormat="1" ht="15.75" customHeight="1">
      <c r="A34" s="34">
        <v>33</v>
      </c>
      <c r="B34" s="575"/>
      <c r="C34" s="499"/>
    </row>
    <row r="35" spans="1:3" s="32" customFormat="1" ht="15.75" customHeight="1">
      <c r="A35" s="34">
        <v>34</v>
      </c>
      <c r="B35" s="575"/>
      <c r="C35" s="499"/>
    </row>
    <row r="36" spans="1:3" s="32" customFormat="1" ht="15.75" customHeight="1">
      <c r="A36" s="34">
        <v>35</v>
      </c>
      <c r="B36" s="575"/>
      <c r="C36" s="499"/>
    </row>
    <row r="37" spans="1:3" s="32" customFormat="1" ht="15.75" customHeight="1">
      <c r="A37" s="34">
        <v>36</v>
      </c>
      <c r="B37" s="575"/>
      <c r="C37" s="499"/>
    </row>
    <row r="38" spans="1:3" s="32" customFormat="1" ht="15.75" customHeight="1">
      <c r="A38" s="34">
        <v>37</v>
      </c>
      <c r="B38" s="575"/>
      <c r="C38" s="499"/>
    </row>
    <row r="39" spans="1:3" s="32" customFormat="1" ht="15.75" customHeight="1">
      <c r="A39" s="34">
        <v>38</v>
      </c>
      <c r="B39" s="575"/>
      <c r="C39" s="499"/>
    </row>
    <row r="40" spans="1:3" s="32" customFormat="1" ht="15.75" customHeight="1">
      <c r="A40" s="34">
        <v>39</v>
      </c>
      <c r="B40" s="575"/>
      <c r="C40" s="499"/>
    </row>
    <row r="41" spans="1:3" s="32" customFormat="1" ht="15.75" customHeight="1">
      <c r="A41" s="34">
        <v>40</v>
      </c>
      <c r="B41" s="575"/>
      <c r="C41" s="499"/>
    </row>
    <row r="42" spans="1:3" s="36" customFormat="1" ht="15.75" customHeight="1">
      <c r="B42" s="1018" t="s">
        <v>618</v>
      </c>
      <c r="C42" s="1018"/>
    </row>
  </sheetData>
  <sheetProtection password="CAE0" sheet="1" objects="1" scenarios="1"/>
  <mergeCells count="1">
    <mergeCell ref="B42:C42"/>
  </mergeCells>
  <phoneticPr fontId="24"/>
  <dataValidations count="1">
    <dataValidation type="date" operator="greaterThan" allowBlank="1" showInputMessage="1" showErrorMessage="1" sqref="B2:B41" xr:uid="{00000000-0002-0000-0700-000000000000}">
      <formula1>39814</formula1>
    </dataValidation>
  </dataValidations>
  <printOptions horizontalCentered="1"/>
  <pageMargins left="0.78740157480314965" right="0.78740157480314965" top="0.98425196850393704" bottom="0.98425196850393704" header="0.51181102362204722" footer="0.51181102362204722"/>
  <pageSetup paperSize="9" scale="150" orientation="portrait" horizontalDpi="1200" verticalDpi="1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0" r:id="rId4" name="calendar">
              <controlPr defaultSize="0" print="0" autoFill="0" autoPict="0" macro="[0]!Setcalendar">
                <anchor moveWithCells="1" sizeWithCells="1">
                  <from>
                    <xdr:col>3</xdr:col>
                    <xdr:colOff>0</xdr:colOff>
                    <xdr:row>0</xdr:row>
                    <xdr:rowOff>0</xdr:rowOff>
                  </from>
                  <to>
                    <xdr:col>3</xdr:col>
                    <xdr:colOff>495300</xdr:colOff>
                    <xdr:row>1</xdr:row>
                    <xdr:rowOff>0</xdr:rowOff>
                  </to>
                </anchor>
              </controlPr>
            </control>
          </mc:Choice>
        </mc:AlternateContent>
        <mc:AlternateContent xmlns:mc="http://schemas.openxmlformats.org/markup-compatibility/2006">
          <mc:Choice Requires="x14">
            <control shapeId="2054" r:id="rId5" name="Button 6">
              <controlPr defaultSize="0" print="0" autoFill="0" autoPict="0" macro="[0]!plusone_Click">
                <anchor moveWithCells="1" sizeWithCells="1">
                  <from>
                    <xdr:col>3</xdr:col>
                    <xdr:colOff>123825</xdr:colOff>
                    <xdr:row>40</xdr:row>
                    <xdr:rowOff>57150</xdr:rowOff>
                  </from>
                  <to>
                    <xdr:col>7</xdr:col>
                    <xdr:colOff>19050</xdr:colOff>
                    <xdr:row>41</xdr:row>
                    <xdr:rowOff>142875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pageSetUpPr fitToPage="1"/>
  </sheetPr>
  <dimension ref="A1:F25"/>
  <sheetViews>
    <sheetView showRowColHeaders="0" workbookViewId="0">
      <pane ySplit="3" topLeftCell="A4" activePane="bottomLeft" state="frozen"/>
      <selection pane="bottomLeft"/>
    </sheetView>
  </sheetViews>
  <sheetFormatPr defaultRowHeight="13.5"/>
  <cols>
    <col min="1" max="1" width="17.625" style="460" bestFit="1" customWidth="1"/>
    <col min="2" max="2" width="7.25" style="462" bestFit="1" customWidth="1"/>
    <col min="3" max="4" width="24.25" style="478" customWidth="1"/>
    <col min="5" max="5" width="62" style="479" customWidth="1"/>
    <col min="6" max="6" width="0.125" hidden="1" customWidth="1"/>
  </cols>
  <sheetData>
    <row r="1" spans="1:6">
      <c r="A1" s="460" t="s">
        <v>367</v>
      </c>
    </row>
    <row r="3" spans="1:6" ht="14.25" thickBot="1">
      <c r="A3" s="461" t="s">
        <v>366</v>
      </c>
      <c r="B3" s="463" t="s">
        <v>371</v>
      </c>
      <c r="C3" s="480" t="s">
        <v>368</v>
      </c>
      <c r="D3" s="480" t="s">
        <v>553</v>
      </c>
      <c r="E3" s="481" t="s">
        <v>369</v>
      </c>
      <c r="F3" t="s">
        <v>370</v>
      </c>
    </row>
    <row r="4" spans="1:6" ht="14.25" thickTop="1">
      <c r="A4" s="582">
        <v>39537</v>
      </c>
      <c r="B4" s="583">
        <v>5</v>
      </c>
      <c r="C4" s="584" t="s">
        <v>375</v>
      </c>
      <c r="D4" s="584" t="s">
        <v>554</v>
      </c>
      <c r="E4" s="585" t="s">
        <v>376</v>
      </c>
    </row>
    <row r="5" spans="1:6">
      <c r="A5" s="586">
        <v>40282</v>
      </c>
      <c r="B5" s="587">
        <v>5.01</v>
      </c>
      <c r="C5" s="588" t="s">
        <v>373</v>
      </c>
      <c r="D5" s="588" t="s">
        <v>554</v>
      </c>
      <c r="E5" s="589" t="s">
        <v>374</v>
      </c>
      <c r="F5" t="s">
        <v>372</v>
      </c>
    </row>
    <row r="6" spans="1:6">
      <c r="A6" s="586">
        <v>40575</v>
      </c>
      <c r="B6" s="587">
        <v>5.0199999999999996</v>
      </c>
      <c r="C6" s="588" t="s">
        <v>377</v>
      </c>
      <c r="D6" s="588" t="s">
        <v>554</v>
      </c>
      <c r="E6" s="589" t="s">
        <v>378</v>
      </c>
      <c r="F6" t="s">
        <v>372</v>
      </c>
    </row>
    <row r="7" spans="1:6">
      <c r="A7" s="586">
        <v>40616</v>
      </c>
      <c r="B7" s="587">
        <v>5.03</v>
      </c>
      <c r="C7" s="588" t="s">
        <v>390</v>
      </c>
      <c r="D7" s="588" t="s">
        <v>554</v>
      </c>
      <c r="E7" s="588" t="s">
        <v>396</v>
      </c>
      <c r="F7" t="s">
        <v>372</v>
      </c>
    </row>
    <row r="8" spans="1:6">
      <c r="A8" s="586">
        <v>40761</v>
      </c>
      <c r="B8" s="587">
        <v>5.04</v>
      </c>
      <c r="C8" s="588" t="s">
        <v>392</v>
      </c>
      <c r="D8" s="588" t="s">
        <v>557</v>
      </c>
      <c r="E8" s="589" t="s">
        <v>393</v>
      </c>
    </row>
    <row r="9" spans="1:6">
      <c r="A9" s="586">
        <v>40793</v>
      </c>
      <c r="B9" s="587">
        <v>5.05</v>
      </c>
      <c r="C9" s="588" t="s">
        <v>394</v>
      </c>
      <c r="D9" s="588" t="s">
        <v>554</v>
      </c>
      <c r="E9" s="588" t="s">
        <v>395</v>
      </c>
    </row>
    <row r="10" spans="1:6">
      <c r="A10" s="586">
        <v>40848</v>
      </c>
      <c r="B10" s="587">
        <v>5.0599999999999996</v>
      </c>
      <c r="C10" s="588" t="s">
        <v>555</v>
      </c>
      <c r="D10" s="588" t="s">
        <v>556</v>
      </c>
      <c r="E10" s="589" t="s">
        <v>400</v>
      </c>
    </row>
    <row r="11" spans="1:6" ht="27">
      <c r="A11" s="586">
        <v>40969</v>
      </c>
      <c r="B11" s="587">
        <v>5.0599999999999996</v>
      </c>
      <c r="C11" s="588" t="s">
        <v>443</v>
      </c>
      <c r="D11" s="588" t="s">
        <v>559</v>
      </c>
      <c r="E11" s="589" t="s">
        <v>444</v>
      </c>
    </row>
    <row r="12" spans="1:6">
      <c r="A12" s="586">
        <v>41486</v>
      </c>
      <c r="B12" s="590">
        <v>6</v>
      </c>
      <c r="C12" s="588" t="s">
        <v>446</v>
      </c>
      <c r="D12" s="588" t="s">
        <v>558</v>
      </c>
      <c r="E12" s="589" t="s">
        <v>447</v>
      </c>
    </row>
    <row r="13" spans="1:6">
      <c r="A13" s="586">
        <v>41721</v>
      </c>
      <c r="B13" s="587">
        <v>7</v>
      </c>
      <c r="C13" s="588" t="s">
        <v>509</v>
      </c>
      <c r="D13" s="588" t="s">
        <v>554</v>
      </c>
      <c r="E13" s="589" t="s">
        <v>510</v>
      </c>
    </row>
    <row r="14" spans="1:6">
      <c r="A14" s="586">
        <v>41759</v>
      </c>
      <c r="B14" s="587">
        <v>7.01</v>
      </c>
      <c r="C14" s="588" t="s">
        <v>511</v>
      </c>
      <c r="D14" s="588" t="s">
        <v>559</v>
      </c>
      <c r="E14" s="589" t="s">
        <v>512</v>
      </c>
    </row>
    <row r="15" spans="1:6">
      <c r="A15" s="586">
        <v>41936</v>
      </c>
      <c r="B15" s="587">
        <v>7.05</v>
      </c>
      <c r="C15" s="588" t="s">
        <v>552</v>
      </c>
      <c r="D15" s="588" t="s">
        <v>554</v>
      </c>
      <c r="E15" s="589"/>
    </row>
    <row r="16" spans="1:6">
      <c r="A16" s="586">
        <v>42067</v>
      </c>
      <c r="B16" s="587">
        <v>7.06</v>
      </c>
      <c r="C16" s="588" t="s">
        <v>572</v>
      </c>
      <c r="D16" s="588" t="s">
        <v>573</v>
      </c>
      <c r="E16" s="589" t="s">
        <v>574</v>
      </c>
    </row>
    <row r="17" spans="1:5">
      <c r="A17" s="586">
        <v>42067</v>
      </c>
      <c r="B17" s="587">
        <v>7.06</v>
      </c>
      <c r="C17" s="588" t="s">
        <v>575</v>
      </c>
      <c r="D17" s="588" t="s">
        <v>559</v>
      </c>
      <c r="E17" s="588" t="s">
        <v>576</v>
      </c>
    </row>
    <row r="18" spans="1:5">
      <c r="A18" s="586">
        <v>43374</v>
      </c>
      <c r="B18" s="587">
        <v>7.12</v>
      </c>
      <c r="C18" s="588" t="s">
        <v>600</v>
      </c>
      <c r="D18" s="588" t="s">
        <v>601</v>
      </c>
      <c r="E18" s="589"/>
    </row>
    <row r="19" spans="1:5">
      <c r="A19" s="586">
        <v>43405</v>
      </c>
      <c r="B19" s="587">
        <v>7.13</v>
      </c>
      <c r="C19" s="588" t="s">
        <v>603</v>
      </c>
      <c r="D19" s="588" t="s">
        <v>559</v>
      </c>
      <c r="E19" s="589" t="s">
        <v>510</v>
      </c>
    </row>
    <row r="20" spans="1:5">
      <c r="A20" s="586">
        <v>43556</v>
      </c>
      <c r="B20" s="587">
        <v>7.14</v>
      </c>
      <c r="C20" s="591" t="s">
        <v>619</v>
      </c>
      <c r="D20" s="591" t="s">
        <v>620</v>
      </c>
      <c r="E20" s="589" t="s">
        <v>621</v>
      </c>
    </row>
    <row r="21" spans="1:5">
      <c r="A21" s="586" t="s">
        <v>622</v>
      </c>
      <c r="B21" s="587">
        <v>7.15</v>
      </c>
      <c r="C21" s="588" t="s">
        <v>623</v>
      </c>
      <c r="D21" s="588"/>
      <c r="E21" s="589"/>
    </row>
    <row r="22" spans="1:5">
      <c r="A22" s="586">
        <v>43711</v>
      </c>
      <c r="B22" s="587">
        <v>7.16</v>
      </c>
      <c r="C22" s="588" t="s">
        <v>624</v>
      </c>
      <c r="D22" s="588" t="s">
        <v>559</v>
      </c>
      <c r="E22" s="589" t="s">
        <v>625</v>
      </c>
    </row>
    <row r="23" spans="1:5">
      <c r="A23" s="592">
        <v>43739</v>
      </c>
      <c r="B23" s="587">
        <v>7.17</v>
      </c>
      <c r="C23" s="593" t="s">
        <v>631</v>
      </c>
      <c r="D23" s="588" t="s">
        <v>559</v>
      </c>
      <c r="E23" s="594" t="s">
        <v>633</v>
      </c>
    </row>
    <row r="24" spans="1:5">
      <c r="A24" s="592">
        <v>43739</v>
      </c>
      <c r="B24" s="587">
        <v>7.17</v>
      </c>
      <c r="C24" s="478" t="s">
        <v>635</v>
      </c>
      <c r="D24" s="588" t="s">
        <v>636</v>
      </c>
      <c r="E24" s="479" t="s">
        <v>637</v>
      </c>
    </row>
    <row r="25" spans="1:5" ht="27">
      <c r="A25" s="460">
        <v>43746</v>
      </c>
      <c r="B25" s="462">
        <v>7.18</v>
      </c>
      <c r="C25" s="478" t="s">
        <v>638</v>
      </c>
      <c r="D25" s="588" t="s">
        <v>636</v>
      </c>
      <c r="E25" s="479" t="s">
        <v>639</v>
      </c>
    </row>
  </sheetData>
  <sheetProtection password="CAE0" sheet="1" objects="1" scenarios="1"/>
  <phoneticPr fontId="24"/>
  <pageMargins left="0.74803149606299213" right="0.74803149606299213" top="0.98425196850393704" bottom="0.98425196850393704" header="0.51181102362204722" footer="0.51181102362204722"/>
  <pageSetup paperSize="9" scale="98" fitToHeight="0" orientation="landscape" horizontalDpi="1200" verticalDpi="1200" r:id="rId1"/>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dimension ref="A1:X46"/>
  <sheetViews>
    <sheetView showGridLines="0" showRowColHeaders="0" zoomScaleNormal="100" zoomScaleSheetLayoutView="85" workbookViewId="0">
      <pane ySplit="2" topLeftCell="A3" activePane="bottomLeft" state="frozen"/>
      <selection activeCell="E77" sqref="E77:I77"/>
      <selection pane="bottomLeft" activeCell="C24" sqref="C24"/>
    </sheetView>
  </sheetViews>
  <sheetFormatPr defaultColWidth="2.125" defaultRowHeight="17.25"/>
  <cols>
    <col min="1" max="1" width="9" style="141" customWidth="1"/>
    <col min="2" max="2" width="15.25" style="26" customWidth="1"/>
    <col min="3" max="3" width="12.375" style="26" customWidth="1"/>
    <col min="4" max="4" width="16" style="140" customWidth="1"/>
    <col min="5" max="5" width="7.25" style="32" bestFit="1" customWidth="1"/>
    <col min="6" max="16384" width="2.125" style="32"/>
  </cols>
  <sheetData>
    <row r="1" spans="1:24">
      <c r="A1" s="32"/>
      <c r="B1" s="32"/>
      <c r="C1" s="32"/>
    </row>
    <row r="2" spans="1:24" ht="33.75" customHeight="1">
      <c r="A2" s="32"/>
      <c r="B2" s="1026" t="s">
        <v>39</v>
      </c>
      <c r="C2" s="1026"/>
    </row>
    <row r="3" spans="1:24">
      <c r="A3" s="32"/>
      <c r="B3" s="32"/>
      <c r="C3" s="32"/>
    </row>
    <row r="4" spans="1:24" ht="35.25" customHeight="1">
      <c r="B4" s="133" t="s">
        <v>131</v>
      </c>
      <c r="C4" s="1027" t="s">
        <v>131</v>
      </c>
      <c r="D4" s="1028"/>
      <c r="E4" s="1028"/>
      <c r="F4" s="1028"/>
      <c r="G4" s="1028"/>
      <c r="H4" s="1028"/>
      <c r="I4" s="1029"/>
    </row>
    <row r="5" spans="1:24">
      <c r="A5" s="32"/>
      <c r="B5" s="32"/>
      <c r="C5" s="129" t="s">
        <v>142</v>
      </c>
    </row>
    <row r="6" spans="1:24">
      <c r="B6" s="37" t="s">
        <v>7</v>
      </c>
      <c r="C6" s="11">
        <v>0.3125</v>
      </c>
      <c r="D6" s="129" t="s">
        <v>133</v>
      </c>
    </row>
    <row r="7" spans="1:24">
      <c r="A7" s="32"/>
      <c r="B7" s="32"/>
      <c r="C7" s="32"/>
    </row>
    <row r="8" spans="1:24">
      <c r="B8" s="38" t="s">
        <v>8</v>
      </c>
      <c r="C8" s="11">
        <v>0.29166666666666669</v>
      </c>
      <c r="D8" s="129" t="s">
        <v>134</v>
      </c>
    </row>
    <row r="9" spans="1:24">
      <c r="A9" s="32"/>
      <c r="B9" s="32"/>
      <c r="C9" s="32"/>
    </row>
    <row r="10" spans="1:24">
      <c r="B10" s="39" t="s">
        <v>9</v>
      </c>
      <c r="C10" s="11">
        <v>0.375</v>
      </c>
      <c r="D10" s="1031" t="s">
        <v>135</v>
      </c>
      <c r="E10" s="1032"/>
      <c r="F10" s="1032"/>
      <c r="G10" s="1032"/>
      <c r="H10" s="1032"/>
      <c r="I10" s="1032"/>
      <c r="J10" s="1032"/>
      <c r="K10" s="1032"/>
      <c r="L10" s="1032"/>
      <c r="M10" s="1032"/>
      <c r="N10" s="1032"/>
      <c r="O10" s="1032"/>
      <c r="P10" s="1032"/>
      <c r="Q10" s="1032"/>
      <c r="R10" s="1032"/>
      <c r="S10" s="1032"/>
      <c r="T10" s="1032"/>
      <c r="U10" s="1032"/>
      <c r="V10" s="1032"/>
      <c r="W10" s="1032"/>
      <c r="X10" s="1032"/>
    </row>
    <row r="11" spans="1:24" ht="22.5">
      <c r="B11" s="39" t="s">
        <v>10</v>
      </c>
      <c r="C11" s="11">
        <v>0.72916666666666663</v>
      </c>
      <c r="D11" s="1031" t="s">
        <v>136</v>
      </c>
      <c r="E11" s="1032"/>
      <c r="F11" s="1032"/>
      <c r="G11" s="1032"/>
      <c r="H11" s="1032"/>
      <c r="I11" s="1032"/>
      <c r="J11" s="1032"/>
      <c r="K11" s="1032"/>
      <c r="L11" s="1032"/>
      <c r="M11" s="1032"/>
      <c r="N11" s="1032"/>
      <c r="O11" s="1032"/>
      <c r="P11" s="1032"/>
      <c r="Q11" s="1032"/>
      <c r="R11" s="1032"/>
      <c r="S11" s="1032"/>
      <c r="T11" s="1032"/>
      <c r="U11" s="1032"/>
      <c r="V11" s="1032"/>
      <c r="W11" s="1032"/>
      <c r="X11" s="1032"/>
    </row>
    <row r="12" spans="1:24" ht="36" customHeight="1">
      <c r="A12" s="32"/>
      <c r="B12" s="32"/>
      <c r="C12" s="32"/>
      <c r="D12" s="1033" t="s">
        <v>141</v>
      </c>
      <c r="E12" s="1033"/>
      <c r="F12" s="1033"/>
      <c r="G12" s="1033"/>
      <c r="H12" s="1033"/>
      <c r="I12" s="1033"/>
      <c r="J12" s="1033"/>
      <c r="K12" s="1033"/>
      <c r="L12" s="1033"/>
      <c r="M12" s="1033"/>
      <c r="N12" s="1033"/>
      <c r="O12" s="1033"/>
      <c r="P12" s="1033"/>
      <c r="Q12" s="1033"/>
      <c r="R12" s="1033"/>
      <c r="S12" s="1033"/>
      <c r="T12" s="1033"/>
      <c r="U12" s="1033"/>
      <c r="V12" s="1033"/>
      <c r="W12" s="1033"/>
      <c r="X12" s="1033"/>
    </row>
    <row r="13" spans="1:24" ht="18" customHeight="1">
      <c r="B13" s="39" t="s">
        <v>11</v>
      </c>
      <c r="C13" s="11">
        <v>6.9444444444444447E-4</v>
      </c>
      <c r="D13" s="1033"/>
      <c r="E13" s="1033"/>
      <c r="F13" s="1033"/>
      <c r="G13" s="1033"/>
      <c r="H13" s="1033"/>
      <c r="I13" s="1033"/>
      <c r="J13" s="1033"/>
      <c r="K13" s="1033"/>
      <c r="L13" s="1033"/>
      <c r="M13" s="1033"/>
      <c r="N13" s="1033"/>
      <c r="O13" s="1033"/>
      <c r="P13" s="1033"/>
      <c r="Q13" s="1033"/>
      <c r="R13" s="1033"/>
      <c r="S13" s="1033"/>
      <c r="T13" s="1033"/>
      <c r="U13" s="1033"/>
      <c r="V13" s="1033"/>
      <c r="W13" s="1033"/>
      <c r="X13" s="1033"/>
    </row>
    <row r="14" spans="1:24">
      <c r="B14" s="39" t="s">
        <v>12</v>
      </c>
      <c r="C14" s="11">
        <v>6.9444444444444447E-4</v>
      </c>
      <c r="D14" s="1031" t="s">
        <v>139</v>
      </c>
      <c r="E14" s="1032"/>
      <c r="F14" s="1032"/>
      <c r="G14" s="1032"/>
      <c r="H14" s="1032"/>
      <c r="I14" s="1032"/>
      <c r="J14" s="1032"/>
      <c r="K14" s="1032"/>
      <c r="L14" s="1032"/>
      <c r="M14" s="1032"/>
      <c r="N14" s="1032"/>
      <c r="O14" s="1032"/>
      <c r="P14" s="1032"/>
      <c r="Q14" s="1032"/>
      <c r="R14" s="1032"/>
      <c r="S14" s="1032"/>
      <c r="T14" s="1032"/>
      <c r="U14" s="1032"/>
      <c r="V14" s="1032"/>
      <c r="W14" s="1032"/>
      <c r="X14" s="1032"/>
    </row>
    <row r="15" spans="1:24">
      <c r="B15" s="39" t="s">
        <v>13</v>
      </c>
      <c r="C15" s="11">
        <v>6.9444444444444447E-4</v>
      </c>
      <c r="D15" s="1031" t="s">
        <v>140</v>
      </c>
      <c r="E15" s="1032"/>
      <c r="F15" s="1032"/>
      <c r="G15" s="1032"/>
      <c r="H15" s="1032"/>
      <c r="I15" s="1032"/>
      <c r="J15" s="1032"/>
      <c r="K15" s="1032"/>
      <c r="L15" s="1032"/>
      <c r="M15" s="1032"/>
      <c r="N15" s="1032"/>
      <c r="O15" s="1032"/>
      <c r="P15" s="1032"/>
      <c r="Q15" s="1032"/>
      <c r="R15" s="1032"/>
      <c r="S15" s="1032"/>
      <c r="T15" s="1032"/>
      <c r="U15" s="1032"/>
      <c r="V15" s="1032"/>
      <c r="W15" s="1032"/>
      <c r="X15" s="1032"/>
    </row>
    <row r="16" spans="1:24">
      <c r="A16" s="32"/>
      <c r="B16" s="32"/>
      <c r="C16" s="32"/>
      <c r="D16" s="476"/>
      <c r="E16" s="477"/>
      <c r="F16" s="477"/>
      <c r="G16" s="477"/>
      <c r="H16" s="477"/>
      <c r="I16" s="477"/>
      <c r="J16" s="477"/>
      <c r="K16" s="477"/>
      <c r="L16" s="477"/>
      <c r="M16" s="477"/>
      <c r="N16" s="477"/>
      <c r="O16" s="477"/>
      <c r="P16" s="477"/>
      <c r="Q16" s="477"/>
      <c r="R16" s="477"/>
      <c r="S16" s="477"/>
      <c r="T16" s="477"/>
      <c r="U16" s="477"/>
      <c r="V16" s="477"/>
      <c r="W16" s="477"/>
      <c r="X16" s="477"/>
    </row>
    <row r="17" spans="2:24">
      <c r="B17" s="40" t="s">
        <v>121</v>
      </c>
      <c r="C17" s="41">
        <v>0.5</v>
      </c>
      <c r="D17" s="1031" t="s">
        <v>138</v>
      </c>
      <c r="E17" s="1032"/>
      <c r="F17" s="1032"/>
      <c r="G17" s="1032"/>
      <c r="H17" s="1032"/>
      <c r="I17" s="1032"/>
      <c r="J17" s="1032"/>
      <c r="K17" s="1032"/>
      <c r="L17" s="1032"/>
      <c r="M17" s="1032"/>
      <c r="N17" s="1032"/>
      <c r="O17" s="1032"/>
      <c r="P17" s="1032"/>
      <c r="Q17" s="1032"/>
      <c r="R17" s="1032"/>
      <c r="S17" s="1032"/>
      <c r="T17" s="1032"/>
      <c r="U17" s="1032"/>
      <c r="V17" s="1032"/>
      <c r="W17" s="1032"/>
      <c r="X17" s="1032"/>
    </row>
    <row r="18" spans="2:24">
      <c r="B18" s="40" t="s">
        <v>122</v>
      </c>
      <c r="C18" s="41">
        <v>0.54166666666666663</v>
      </c>
      <c r="D18" s="1021" t="s">
        <v>137</v>
      </c>
      <c r="E18" s="1022"/>
      <c r="F18" s="1022"/>
      <c r="G18" s="1022"/>
      <c r="H18" s="1022"/>
      <c r="I18" s="1022"/>
      <c r="J18" s="1022"/>
      <c r="K18" s="1022"/>
      <c r="L18" s="1022"/>
      <c r="M18" s="1022"/>
      <c r="N18" s="1022"/>
      <c r="O18" s="1022"/>
      <c r="P18" s="1022"/>
      <c r="Q18" s="1022"/>
      <c r="R18" s="1022"/>
      <c r="S18" s="1022"/>
      <c r="T18" s="1022"/>
      <c r="U18" s="1022"/>
      <c r="V18" s="1022"/>
      <c r="W18" s="1022"/>
      <c r="X18" s="1022"/>
    </row>
    <row r="19" spans="2:24">
      <c r="B19" s="40" t="s">
        <v>16</v>
      </c>
      <c r="C19" s="41">
        <v>0.8125</v>
      </c>
      <c r="D19" s="1031" t="s">
        <v>40</v>
      </c>
      <c r="E19" s="1032"/>
      <c r="F19" s="1032"/>
      <c r="G19" s="1032"/>
      <c r="H19" s="1032"/>
      <c r="I19" s="1032"/>
      <c r="J19" s="1032"/>
      <c r="K19" s="1032"/>
      <c r="L19" s="1032"/>
      <c r="M19" s="1032"/>
      <c r="N19" s="1032"/>
      <c r="O19" s="1032"/>
      <c r="P19" s="1032"/>
      <c r="Q19" s="1032"/>
      <c r="R19" s="1032"/>
      <c r="S19" s="1032"/>
      <c r="T19" s="1032"/>
      <c r="U19" s="1032"/>
      <c r="V19" s="1032"/>
      <c r="W19" s="1032"/>
      <c r="X19" s="1032"/>
    </row>
    <row r="20" spans="2:24">
      <c r="B20" s="40" t="s">
        <v>17</v>
      </c>
      <c r="C20" s="41">
        <v>0.83333333333333337</v>
      </c>
      <c r="D20" s="1021" t="s">
        <v>137</v>
      </c>
      <c r="E20" s="1022"/>
      <c r="F20" s="1022"/>
      <c r="G20" s="1022"/>
      <c r="H20" s="1022"/>
      <c r="I20" s="1022"/>
      <c r="J20" s="1022"/>
      <c r="K20" s="1022"/>
      <c r="L20" s="1022"/>
      <c r="M20" s="1022"/>
      <c r="N20" s="1022"/>
      <c r="O20" s="1022"/>
      <c r="P20" s="1022"/>
      <c r="Q20" s="1022"/>
      <c r="R20" s="1022"/>
      <c r="S20" s="1022"/>
      <c r="T20" s="1022"/>
      <c r="U20" s="1022"/>
      <c r="V20" s="1022"/>
      <c r="W20" s="1022"/>
      <c r="X20" s="1022"/>
    </row>
    <row r="21" spans="2:24" ht="36" customHeight="1">
      <c r="B21" s="40" t="s">
        <v>18</v>
      </c>
      <c r="C21" s="41">
        <v>1.0416666666666667</v>
      </c>
      <c r="D21" s="1023" t="s">
        <v>123</v>
      </c>
      <c r="E21" s="1024"/>
      <c r="F21" s="1024"/>
      <c r="G21" s="1024"/>
      <c r="H21" s="1024"/>
      <c r="I21" s="1024"/>
      <c r="J21" s="1024"/>
      <c r="K21" s="1024"/>
      <c r="L21" s="1024"/>
      <c r="M21" s="1024"/>
      <c r="N21" s="1024"/>
      <c r="O21" s="1024"/>
      <c r="P21" s="1024"/>
      <c r="Q21" s="1024"/>
      <c r="R21" s="1024"/>
      <c r="S21" s="1024"/>
      <c r="T21" s="1024"/>
      <c r="U21" s="1024"/>
      <c r="V21" s="1024"/>
      <c r="W21" s="1024"/>
      <c r="X21" s="1024"/>
    </row>
    <row r="22" spans="2:24">
      <c r="B22" s="40" t="s">
        <v>19</v>
      </c>
      <c r="C22" s="41">
        <v>1.0833333333333333</v>
      </c>
      <c r="D22" s="1021" t="s">
        <v>137</v>
      </c>
      <c r="E22" s="1022"/>
      <c r="F22" s="1022"/>
      <c r="G22" s="1022"/>
      <c r="H22" s="1022"/>
      <c r="I22" s="1022"/>
      <c r="J22" s="1022"/>
      <c r="K22" s="1022"/>
      <c r="L22" s="1022"/>
      <c r="M22" s="1022"/>
      <c r="N22" s="1022"/>
      <c r="O22" s="1022"/>
      <c r="P22" s="1022"/>
      <c r="Q22" s="1022"/>
      <c r="R22" s="1022"/>
      <c r="S22" s="1022"/>
      <c r="T22" s="1022"/>
      <c r="U22" s="1022"/>
      <c r="V22" s="1022"/>
      <c r="W22" s="1022"/>
      <c r="X22" s="1022"/>
    </row>
    <row r="23" spans="2:24">
      <c r="B23" s="40" t="s">
        <v>20</v>
      </c>
      <c r="C23" s="41">
        <v>1.2083333333333333</v>
      </c>
      <c r="D23" s="1021"/>
      <c r="E23" s="1022"/>
      <c r="F23" s="1022"/>
      <c r="G23" s="1022"/>
      <c r="H23" s="1022"/>
      <c r="I23" s="1022"/>
      <c r="J23" s="1022"/>
      <c r="K23" s="1022"/>
      <c r="L23" s="1022"/>
      <c r="M23" s="1022"/>
      <c r="N23" s="1022"/>
      <c r="O23" s="1022"/>
      <c r="P23" s="1022"/>
      <c r="Q23" s="1022"/>
      <c r="R23" s="1022"/>
      <c r="S23" s="1022"/>
      <c r="T23" s="1022"/>
      <c r="U23" s="1022"/>
      <c r="V23" s="1022"/>
      <c r="W23" s="1022"/>
      <c r="X23" s="1022"/>
    </row>
    <row r="24" spans="2:24">
      <c r="B24" s="40" t="s">
        <v>21</v>
      </c>
      <c r="C24" s="41">
        <v>1.2916666666666667</v>
      </c>
      <c r="D24" s="1021" t="s">
        <v>137</v>
      </c>
      <c r="E24" s="1022"/>
      <c r="F24" s="1022"/>
      <c r="G24" s="1022"/>
      <c r="H24" s="1022"/>
      <c r="I24" s="1022"/>
      <c r="J24" s="1022"/>
      <c r="K24" s="1022"/>
      <c r="L24" s="1022"/>
      <c r="M24" s="1022"/>
      <c r="N24" s="1022"/>
      <c r="O24" s="1022"/>
      <c r="P24" s="1022"/>
      <c r="Q24" s="1022"/>
      <c r="R24" s="1022"/>
      <c r="S24" s="1022"/>
      <c r="T24" s="1022"/>
      <c r="U24" s="1022"/>
      <c r="V24" s="1022"/>
      <c r="W24" s="1022"/>
      <c r="X24" s="1022"/>
    </row>
    <row r="25" spans="2:24">
      <c r="B25" s="40" t="s">
        <v>22</v>
      </c>
      <c r="C25" s="41"/>
      <c r="D25" s="1021"/>
      <c r="E25" s="1022"/>
      <c r="F25" s="1022"/>
      <c r="G25" s="1022"/>
      <c r="H25" s="1022"/>
      <c r="I25" s="1022"/>
      <c r="J25" s="1022"/>
      <c r="K25" s="1022"/>
      <c r="L25" s="1022"/>
      <c r="M25" s="1022"/>
      <c r="N25" s="1022"/>
      <c r="O25" s="1022"/>
      <c r="P25" s="1022"/>
      <c r="Q25" s="1022"/>
      <c r="R25" s="1022"/>
      <c r="S25" s="1022"/>
      <c r="T25" s="1022"/>
      <c r="U25" s="1022"/>
      <c r="V25" s="1022"/>
      <c r="W25" s="1022"/>
      <c r="X25" s="1022"/>
    </row>
    <row r="26" spans="2:24">
      <c r="B26" s="40" t="s">
        <v>23</v>
      </c>
      <c r="C26" s="41"/>
      <c r="D26" s="1021" t="s">
        <v>137</v>
      </c>
      <c r="E26" s="1022"/>
      <c r="F26" s="1022"/>
      <c r="G26" s="1022"/>
      <c r="H26" s="1022"/>
      <c r="I26" s="1022"/>
      <c r="J26" s="1022"/>
      <c r="K26" s="1022"/>
      <c r="L26" s="1022"/>
      <c r="M26" s="1022"/>
      <c r="N26" s="1022"/>
      <c r="O26" s="1022"/>
      <c r="P26" s="1022"/>
      <c r="Q26" s="1022"/>
      <c r="R26" s="1022"/>
      <c r="S26" s="1022"/>
      <c r="T26" s="1022"/>
      <c r="U26" s="1022"/>
      <c r="V26" s="1022"/>
      <c r="W26" s="1022"/>
      <c r="X26" s="1022"/>
    </row>
    <row r="27" spans="2:24">
      <c r="B27" s="40" t="s">
        <v>24</v>
      </c>
      <c r="C27" s="41"/>
      <c r="D27" s="1021"/>
      <c r="E27" s="1022"/>
      <c r="F27" s="1022"/>
      <c r="G27" s="1022"/>
      <c r="H27" s="1022"/>
      <c r="I27" s="1022"/>
      <c r="J27" s="1022"/>
      <c r="K27" s="1022"/>
      <c r="L27" s="1022"/>
      <c r="M27" s="1022"/>
      <c r="N27" s="1022"/>
      <c r="O27" s="1022"/>
      <c r="P27" s="1022"/>
      <c r="Q27" s="1022"/>
      <c r="R27" s="1022"/>
      <c r="S27" s="1022"/>
      <c r="T27" s="1022"/>
      <c r="U27" s="1022"/>
      <c r="V27" s="1022"/>
      <c r="W27" s="1022"/>
      <c r="X27" s="1022"/>
    </row>
    <row r="28" spans="2:24">
      <c r="B28" s="40" t="s">
        <v>25</v>
      </c>
      <c r="C28" s="41"/>
      <c r="D28" s="1021" t="s">
        <v>137</v>
      </c>
      <c r="E28" s="1022"/>
      <c r="F28" s="1022"/>
      <c r="G28" s="1022"/>
      <c r="H28" s="1022"/>
      <c r="I28" s="1022"/>
      <c r="J28" s="1022"/>
      <c r="K28" s="1022"/>
      <c r="L28" s="1022"/>
      <c r="M28" s="1022"/>
      <c r="N28" s="1022"/>
      <c r="O28" s="1022"/>
      <c r="P28" s="1022"/>
      <c r="Q28" s="1022"/>
      <c r="R28" s="1022"/>
      <c r="S28" s="1022"/>
      <c r="T28" s="1022"/>
      <c r="U28" s="1022"/>
      <c r="V28" s="1022"/>
      <c r="W28" s="1022"/>
      <c r="X28" s="1022"/>
    </row>
    <row r="29" spans="2:24">
      <c r="B29" s="40" t="s">
        <v>26</v>
      </c>
      <c r="C29" s="41"/>
      <c r="D29" s="1021"/>
      <c r="E29" s="1022"/>
      <c r="F29" s="1022"/>
      <c r="G29" s="1022"/>
      <c r="H29" s="1022"/>
      <c r="I29" s="1022"/>
      <c r="J29" s="1022"/>
      <c r="K29" s="1022"/>
      <c r="L29" s="1022"/>
      <c r="M29" s="1022"/>
      <c r="N29" s="1022"/>
      <c r="O29" s="1022"/>
      <c r="P29" s="1022"/>
      <c r="Q29" s="1022"/>
      <c r="R29" s="1022"/>
      <c r="S29" s="1022"/>
      <c r="T29" s="1022"/>
      <c r="U29" s="1022"/>
      <c r="V29" s="1022"/>
      <c r="W29" s="1022"/>
      <c r="X29" s="1022"/>
    </row>
    <row r="30" spans="2:24">
      <c r="B30" s="40" t="s">
        <v>27</v>
      </c>
      <c r="C30" s="41"/>
      <c r="D30" s="1021" t="s">
        <v>137</v>
      </c>
      <c r="E30" s="1022"/>
      <c r="F30" s="1022"/>
      <c r="G30" s="1022"/>
      <c r="H30" s="1022"/>
      <c r="I30" s="1022"/>
      <c r="J30" s="1022"/>
      <c r="K30" s="1022"/>
      <c r="L30" s="1022"/>
      <c r="M30" s="1022"/>
      <c r="N30" s="1022"/>
      <c r="O30" s="1022"/>
      <c r="P30" s="1022"/>
      <c r="Q30" s="1022"/>
      <c r="R30" s="1022"/>
      <c r="S30" s="1022"/>
      <c r="T30" s="1022"/>
      <c r="U30" s="1022"/>
      <c r="V30" s="1022"/>
      <c r="W30" s="1022"/>
      <c r="X30" s="1022"/>
    </row>
    <row r="35" spans="2:24" ht="24">
      <c r="B35" s="472" t="s">
        <v>143</v>
      </c>
      <c r="D35" s="1030" t="s">
        <v>383</v>
      </c>
      <c r="E35" s="1030"/>
      <c r="F35" s="1030"/>
      <c r="G35" s="1030"/>
      <c r="H35" s="1030"/>
      <c r="I35" s="1030"/>
      <c r="J35" s="1030"/>
      <c r="K35" s="1030"/>
      <c r="L35" s="1030"/>
      <c r="M35" s="1030"/>
    </row>
    <row r="36" spans="2:24" ht="24">
      <c r="B36" s="472"/>
      <c r="D36" s="142"/>
      <c r="E36" s="142"/>
      <c r="F36" s="142"/>
      <c r="G36" s="142"/>
      <c r="H36" s="142"/>
      <c r="I36" s="142"/>
      <c r="J36" s="142"/>
      <c r="K36" s="142"/>
      <c r="L36" s="142"/>
      <c r="M36" s="142"/>
    </row>
    <row r="37" spans="2:24" ht="24">
      <c r="B37" s="1025" t="s">
        <v>144</v>
      </c>
      <c r="C37" s="1025"/>
      <c r="D37" s="1025"/>
      <c r="E37" s="1025"/>
      <c r="F37" s="1025"/>
      <c r="G37" s="1025"/>
      <c r="H37" s="1025"/>
      <c r="I37" s="1025"/>
      <c r="J37" s="1025"/>
      <c r="K37" s="1025"/>
      <c r="L37" s="1025"/>
      <c r="M37" s="1025"/>
      <c r="N37" s="1025"/>
      <c r="O37" s="1025"/>
      <c r="P37" s="1025"/>
      <c r="Q37" s="1025"/>
      <c r="R37" s="1025"/>
      <c r="S37" s="1025"/>
      <c r="T37" s="1025"/>
      <c r="U37" s="1025"/>
      <c r="V37" s="1025"/>
      <c r="W37" s="1025"/>
      <c r="X37" s="1025"/>
    </row>
    <row r="38" spans="2:24" ht="18.75">
      <c r="B38" s="1019" t="s">
        <v>145</v>
      </c>
      <c r="C38" s="1019"/>
      <c r="D38" s="1019"/>
      <c r="E38" s="1019"/>
      <c r="F38" s="1019"/>
      <c r="G38" s="1019"/>
      <c r="H38" s="1019"/>
      <c r="I38" s="1019"/>
      <c r="J38" s="1019"/>
      <c r="K38" s="1019"/>
      <c r="L38" s="1019"/>
      <c r="M38" s="1019"/>
      <c r="N38" s="1019"/>
      <c r="O38" s="1019"/>
      <c r="P38" s="1019"/>
      <c r="Q38" s="1019"/>
      <c r="R38" s="1019"/>
      <c r="S38" s="1019"/>
      <c r="T38" s="1019"/>
      <c r="U38" s="1019"/>
      <c r="V38" s="1019"/>
      <c r="W38" s="1019"/>
      <c r="X38" s="1019"/>
    </row>
    <row r="39" spans="2:24" ht="71.25" customHeight="1">
      <c r="B39" s="1019" t="s">
        <v>384</v>
      </c>
      <c r="C39" s="1019"/>
      <c r="D39" s="1019"/>
      <c r="E39" s="1019"/>
      <c r="F39" s="1019"/>
      <c r="G39" s="1019"/>
      <c r="H39" s="1019"/>
      <c r="I39" s="1019"/>
      <c r="J39" s="1019"/>
      <c r="K39" s="1019"/>
      <c r="L39" s="1019"/>
      <c r="M39" s="1019"/>
      <c r="N39" s="1019"/>
      <c r="O39" s="1019"/>
      <c r="P39" s="1019"/>
      <c r="Q39" s="1019"/>
      <c r="R39" s="1019"/>
      <c r="S39" s="1019"/>
      <c r="T39" s="1019"/>
      <c r="U39" s="1019"/>
      <c r="V39" s="1019"/>
      <c r="W39" s="1019"/>
      <c r="X39" s="1019"/>
    </row>
    <row r="40" spans="2:24" ht="12" customHeight="1">
      <c r="B40" s="473"/>
      <c r="C40" s="473"/>
      <c r="D40" s="474"/>
      <c r="E40" s="474"/>
      <c r="F40" s="474"/>
      <c r="G40" s="474"/>
      <c r="H40" s="474"/>
      <c r="I40" s="474"/>
      <c r="J40" s="474"/>
      <c r="K40" s="474"/>
      <c r="L40" s="474"/>
      <c r="M40" s="474"/>
      <c r="N40" s="474"/>
      <c r="O40" s="474"/>
      <c r="P40" s="474"/>
      <c r="Q40" s="475"/>
      <c r="R40" s="475"/>
      <c r="S40" s="475"/>
      <c r="T40" s="475"/>
      <c r="U40" s="475"/>
      <c r="V40" s="475"/>
      <c r="W40" s="475"/>
      <c r="X40" s="475"/>
    </row>
    <row r="41" spans="2:24" ht="28.5" customHeight="1">
      <c r="B41" s="1020" t="s">
        <v>385</v>
      </c>
      <c r="C41" s="1020"/>
      <c r="D41" s="1020"/>
      <c r="E41" s="1020"/>
      <c r="F41" s="1020"/>
      <c r="G41" s="1020"/>
      <c r="H41" s="1020"/>
      <c r="I41" s="1020"/>
      <c r="J41" s="1020"/>
      <c r="K41" s="1020"/>
      <c r="L41" s="1020"/>
      <c r="M41" s="1020"/>
      <c r="N41" s="1020"/>
      <c r="O41" s="1020"/>
      <c r="P41" s="1020"/>
      <c r="Q41" s="1020"/>
      <c r="R41" s="1020"/>
      <c r="S41" s="1020"/>
      <c r="T41" s="1020"/>
      <c r="U41" s="1020"/>
      <c r="V41" s="1020"/>
      <c r="W41" s="1020"/>
      <c r="X41" s="1020"/>
    </row>
    <row r="42" spans="2:24" ht="24.75" customHeight="1">
      <c r="B42" s="1019" t="s">
        <v>146</v>
      </c>
      <c r="C42" s="1019"/>
      <c r="D42" s="1019"/>
      <c r="E42" s="1019"/>
      <c r="F42" s="1019"/>
      <c r="G42" s="1019"/>
      <c r="H42" s="1019"/>
      <c r="I42" s="1019"/>
      <c r="J42" s="1019"/>
      <c r="K42" s="1019"/>
      <c r="L42" s="1019"/>
      <c r="M42" s="1019"/>
      <c r="N42" s="1019"/>
      <c r="O42" s="1019"/>
      <c r="P42" s="1019"/>
      <c r="Q42" s="1019"/>
      <c r="R42" s="1019"/>
      <c r="S42" s="1019"/>
      <c r="T42" s="1019"/>
      <c r="U42" s="1019"/>
      <c r="V42" s="1019"/>
      <c r="W42" s="1019"/>
      <c r="X42" s="1019"/>
    </row>
    <row r="43" spans="2:24" ht="190.5" customHeight="1">
      <c r="B43" s="1019" t="s">
        <v>386</v>
      </c>
      <c r="C43" s="1019"/>
      <c r="D43" s="1019"/>
      <c r="E43" s="1019"/>
      <c r="F43" s="1019"/>
      <c r="G43" s="1019"/>
      <c r="H43" s="1019"/>
      <c r="I43" s="1019"/>
      <c r="J43" s="1019"/>
      <c r="K43" s="1019"/>
      <c r="L43" s="1019"/>
      <c r="M43" s="1019"/>
      <c r="N43" s="1019"/>
      <c r="O43" s="1019"/>
      <c r="P43" s="1019"/>
      <c r="Q43" s="1019"/>
      <c r="R43" s="1019"/>
      <c r="S43" s="1019"/>
      <c r="T43" s="1019"/>
      <c r="U43" s="1019"/>
      <c r="V43" s="1019"/>
      <c r="W43" s="1019"/>
      <c r="X43" s="1019"/>
    </row>
    <row r="44" spans="2:24" ht="75.75" customHeight="1">
      <c r="B44" s="1019" t="s">
        <v>387</v>
      </c>
      <c r="C44" s="1019"/>
      <c r="D44" s="1019"/>
      <c r="E44" s="1019"/>
      <c r="F44" s="1019"/>
      <c r="G44" s="1019"/>
      <c r="H44" s="1019"/>
      <c r="I44" s="1019"/>
      <c r="J44" s="1019"/>
      <c r="K44" s="1019"/>
      <c r="L44" s="1019"/>
      <c r="M44" s="1019"/>
      <c r="N44" s="1019"/>
      <c r="O44" s="1019"/>
      <c r="P44" s="1019"/>
      <c r="Q44" s="1019"/>
      <c r="R44" s="1019"/>
      <c r="S44" s="1019"/>
      <c r="T44" s="1019"/>
      <c r="U44" s="1019"/>
      <c r="V44" s="1019"/>
      <c r="W44" s="1019"/>
      <c r="X44" s="1019"/>
    </row>
    <row r="45" spans="2:24" ht="78" customHeight="1">
      <c r="B45" s="1019" t="s">
        <v>388</v>
      </c>
      <c r="C45" s="1019"/>
      <c r="D45" s="1019"/>
      <c r="E45" s="1019"/>
      <c r="F45" s="1019"/>
      <c r="G45" s="1019"/>
      <c r="H45" s="1019"/>
      <c r="I45" s="1019"/>
      <c r="J45" s="1019"/>
      <c r="K45" s="1019"/>
      <c r="L45" s="1019"/>
      <c r="M45" s="1019"/>
      <c r="N45" s="1019"/>
      <c r="O45" s="1019"/>
      <c r="P45" s="1019"/>
      <c r="Q45" s="1019"/>
      <c r="R45" s="1019"/>
      <c r="S45" s="1019"/>
      <c r="T45" s="1019"/>
      <c r="U45" s="1019"/>
      <c r="V45" s="1019"/>
      <c r="W45" s="1019"/>
      <c r="X45" s="1019"/>
    </row>
    <row r="46" spans="2:24" ht="75.75" customHeight="1">
      <c r="B46" s="1019" t="s">
        <v>389</v>
      </c>
      <c r="C46" s="1019"/>
      <c r="D46" s="1019"/>
      <c r="E46" s="1019"/>
      <c r="F46" s="1019"/>
      <c r="G46" s="1019"/>
      <c r="H46" s="1019"/>
      <c r="I46" s="1019"/>
      <c r="J46" s="1019"/>
      <c r="K46" s="1019"/>
      <c r="L46" s="1019"/>
      <c r="M46" s="1019"/>
      <c r="N46" s="1019"/>
      <c r="O46" s="1019"/>
      <c r="P46" s="1019"/>
      <c r="Q46" s="1019"/>
      <c r="R46" s="1019"/>
      <c r="S46" s="1019"/>
      <c r="T46" s="1019"/>
      <c r="U46" s="1019"/>
      <c r="V46" s="1019"/>
      <c r="W46" s="1019"/>
      <c r="X46" s="1019"/>
    </row>
  </sheetData>
  <sheetProtection password="CAE0" sheet="1" objects="1" scenarios="1"/>
  <mergeCells count="31">
    <mergeCell ref="B2:C2"/>
    <mergeCell ref="C4:I4"/>
    <mergeCell ref="D35:M35"/>
    <mergeCell ref="D17:X17"/>
    <mergeCell ref="D28:X28"/>
    <mergeCell ref="D12:X13"/>
    <mergeCell ref="D24:X24"/>
    <mergeCell ref="D25:X25"/>
    <mergeCell ref="D26:X26"/>
    <mergeCell ref="D10:X10"/>
    <mergeCell ref="D11:X11"/>
    <mergeCell ref="D18:X18"/>
    <mergeCell ref="D19:X19"/>
    <mergeCell ref="D15:X15"/>
    <mergeCell ref="D14:X14"/>
    <mergeCell ref="B39:X39"/>
    <mergeCell ref="D20:X20"/>
    <mergeCell ref="D21:X21"/>
    <mergeCell ref="B38:X38"/>
    <mergeCell ref="B37:X37"/>
    <mergeCell ref="D30:X30"/>
    <mergeCell ref="D29:X29"/>
    <mergeCell ref="D23:X23"/>
    <mergeCell ref="D27:X27"/>
    <mergeCell ref="D22:X22"/>
    <mergeCell ref="B46:X46"/>
    <mergeCell ref="B45:X45"/>
    <mergeCell ref="B44:X44"/>
    <mergeCell ref="B43:X43"/>
    <mergeCell ref="B41:X41"/>
    <mergeCell ref="B42:X42"/>
  </mergeCells>
  <phoneticPr fontId="24"/>
  <conditionalFormatting sqref="D28 D26 D24 D22 D20 D18 D30">
    <cfRule type="expression" dxfId="20" priority="1" stopIfTrue="1">
      <formula>IF($C17="",IF($C18="",0,1),0)</formula>
    </cfRule>
  </conditionalFormatting>
  <dataValidations count="1">
    <dataValidation type="time" imeMode="off" operator="greaterThan" allowBlank="1" showInputMessage="1" showErrorMessage="1" errorTitle="入力値が間違っています。" error="時間を入力してください。" sqref="C13:C15 C17:C30 C8 C10:C11 C6" xr:uid="{00000000-0002-0000-0900-000000000000}">
      <formula1>0</formula1>
    </dataValidation>
  </dataValidations>
  <hyperlinks>
    <hyperlink ref="D35" r:id="rId1" location="s4" xr:uid="{00000000-0004-0000-0900-000000000000}"/>
  </hyperlinks>
  <pageMargins left="0.75" right="0.17" top="1" bottom="0.64" header="0.32" footer="0.2"/>
  <pageSetup paperSize="9" scale="86" orientation="portrait" copies="0" r:id="rId2"/>
  <headerFooter alignWithMargins="0"/>
  <rowBreaks count="1" manualBreakCount="1">
    <brk id="34" max="16383" man="1"/>
  </rowBreaks>
  <drawing r:id="rId3"/>
  <legacyDrawing r:id="rId4"/>
  <mc:AlternateContent xmlns:mc="http://schemas.openxmlformats.org/markup-compatibility/2006">
    <mc:Choice Requires="x14">
      <controls>
        <mc:AlternateContent xmlns:mc="http://schemas.openxmlformats.org/markup-compatibility/2006">
          <mc:Choice Requires="x14">
            <control shapeId="3080" r:id="rId5" name="確定">
              <controlPr defaultSize="0" print="0" autoFill="0" autoPict="0" macro="[0]!ReturnStart">
                <anchor moveWithCells="1" sizeWithCells="1">
                  <from>
                    <xdr:col>3</xdr:col>
                    <xdr:colOff>0</xdr:colOff>
                    <xdr:row>1</xdr:row>
                    <xdr:rowOff>0</xdr:rowOff>
                  </from>
                  <to>
                    <xdr:col>4</xdr:col>
                    <xdr:colOff>0</xdr:colOff>
                    <xdr:row>2</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vt:i4>
      </vt:variant>
      <vt:variant>
        <vt:lpstr>名前付き一覧</vt:lpstr>
      </vt:variant>
      <vt:variant>
        <vt:i4>27</vt:i4>
      </vt:variant>
    </vt:vector>
  </HeadingPairs>
  <TitlesOfParts>
    <vt:vector size="30" baseType="lpstr">
      <vt:lpstr>使用方法</vt:lpstr>
      <vt:lpstr>メニュー</vt:lpstr>
      <vt:lpstr>&lt;高橋敦&gt;報告. 1910</vt:lpstr>
      <vt:lpstr>交通費明細書マスタ!P20190930</vt:lpstr>
      <vt:lpstr>出張費明細書マスタ!P20190930</vt:lpstr>
      <vt:lpstr>交通費明細書マスタ!P20191001</vt:lpstr>
      <vt:lpstr>出張費明細書マスタ!P20191001</vt:lpstr>
      <vt:lpstr>'&lt;高橋敦&gt;報告. 1910'!Print_Area</vt:lpstr>
      <vt:lpstr>交通費明細書マスタ!Print_Area</vt:lpstr>
      <vt:lpstr>作業時間報告書!Print_Area</vt:lpstr>
      <vt:lpstr>作業時間報告書マスタ!Print_Area</vt:lpstr>
      <vt:lpstr>使用方法!Print_Area</vt:lpstr>
      <vt:lpstr>出張費明細書マスタ!Print_Area</vt:lpstr>
      <vt:lpstr>交通費明細書マスタ!Print_Titles</vt:lpstr>
      <vt:lpstr>PuLLD</vt:lpstr>
      <vt:lpstr>作業時間報告書マスタ!基準先頭</vt:lpstr>
      <vt:lpstr>休日カレンダ</vt:lpstr>
      <vt:lpstr>'&lt;高橋敦&gt;報告. 1910'!勤怠タイプ</vt:lpstr>
      <vt:lpstr>作業時間報告書!勤怠タイプ</vt:lpstr>
      <vt:lpstr>'&lt;高橋敦&gt;報告. 1910'!勤怠タイプNo</vt:lpstr>
      <vt:lpstr>作業時間報告書!勤怠タイプNo</vt:lpstr>
      <vt:lpstr>'&lt;高橋敦&gt;報告. 1910'!最低休暇時間1</vt:lpstr>
      <vt:lpstr>作業時間報告書!最低休暇時間1</vt:lpstr>
      <vt:lpstr>'&lt;高橋敦&gt;報告. 1910'!最低休暇時間2</vt:lpstr>
      <vt:lpstr>作業時間報告書!最低休暇時間2</vt:lpstr>
      <vt:lpstr>作業時間報告書マスタ!実労先頭</vt:lpstr>
      <vt:lpstr>'&lt;高橋敦&gt;報告. 1910'!法律時間1</vt:lpstr>
      <vt:lpstr>作業時間報告書!法律時間1</vt:lpstr>
      <vt:lpstr>'&lt;高橋敦&gt;報告. 1910'!法律時間2</vt:lpstr>
      <vt:lpstr>作業時間報告書!法律時間2</vt:lpstr>
    </vt:vector>
  </TitlesOfParts>
  <Company>富士ソフト株式会社</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準委任帳票</dc:title>
  <dc:creator>梁川 忠之</dc:creator>
  <cp:lastModifiedBy>高橋 敦</cp:lastModifiedBy>
  <cp:revision>00</cp:revision>
  <cp:lastPrinted>2019-10-08T10:20:55Z</cp:lastPrinted>
  <dcterms:created xsi:type="dcterms:W3CDTF">2013-03-27T03:00:00Z</dcterms:created>
  <dcterms:modified xsi:type="dcterms:W3CDTF">2019-10-31T04:26:54Z</dcterms:modified>
  <cp:version>7.11</cp:version>
</cp:coreProperties>
</file>